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9FA645DA9E2B7D/Documents/"/>
    </mc:Choice>
  </mc:AlternateContent>
  <xr:revisionPtr revIDLastSave="0" documentId="8_{F40A2791-F700-4C62-9BB1-933F99A39D66}" xr6:coauthVersionLast="47" xr6:coauthVersionMax="47" xr10:uidLastSave="{00000000-0000-0000-0000-000000000000}"/>
  <bookViews>
    <workbookView xWindow="-98" yWindow="-98" windowWidth="23236" windowHeight="13875" xr2:uid="{6583AD3F-1E79-4888-9E7C-C35B6F376C1E}"/>
  </bookViews>
  <sheets>
    <sheet name="Sheet2" sheetId="2" r:id="rId1"/>
    <sheet name="2025-2026" sheetId="1" r:id="rId2"/>
  </sheets>
  <definedNames>
    <definedName name="_xlnm._FilterDatabase" localSheetId="1" hidden="1">'2025-2026'!$A$2:$O$2</definedName>
    <definedName name="Slicer_Season">#N/A</definedName>
  </definedNames>
  <calcPr calcId="191028"/>
  <pivotCaches>
    <pivotCache cacheId="11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6" i="1" l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K4" i="1"/>
  <c r="K3" i="1"/>
  <c r="J4" i="1"/>
  <c r="J3" i="1"/>
  <c r="C4" i="1"/>
  <c r="C3" i="1"/>
  <c r="K5" i="1"/>
  <c r="J5" i="1"/>
  <c r="J6" i="1"/>
  <c r="K6" i="1"/>
  <c r="J8" i="1"/>
  <c r="J7" i="1"/>
  <c r="K8" i="1"/>
  <c r="K7" i="1"/>
  <c r="J10" i="1"/>
  <c r="J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5" i="1"/>
  <c r="K16" i="1"/>
  <c r="K17" i="1"/>
  <c r="K18" i="1"/>
  <c r="J12" i="1"/>
  <c r="J11" i="1"/>
  <c r="F1" i="1"/>
  <c r="D1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" i="1"/>
  <c r="W17" i="2"/>
  <c r="V17" i="2"/>
  <c r="V18" i="2"/>
  <c r="V16" i="2"/>
  <c r="W16" i="2"/>
  <c r="W18" i="2"/>
  <c r="C6" i="1" l="1"/>
  <c r="C5" i="1"/>
  <c r="C8" i="1"/>
  <c r="C7" i="1"/>
  <c r="C10" i="1"/>
  <c r="C9" i="1"/>
  <c r="C12" i="1"/>
  <c r="C11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<sst xmlns="http://schemas.openxmlformats.org/spreadsheetml/2006/main" count="371" uniqueCount="73">
  <si>
    <t>Average rating</t>
  </si>
  <si>
    <t>Errors</t>
    <phoneticPr fontId="1" type="noConversion"/>
  </si>
  <si>
    <t>Goal source (average goal contribution)</t>
    <phoneticPr fontId="1" type="noConversion"/>
  </si>
  <si>
    <t>Column Labels</t>
  </si>
  <si>
    <t>Darren</t>
  </si>
  <si>
    <t>Ryan</t>
  </si>
  <si>
    <t>Grand Total</t>
  </si>
  <si>
    <t>Average of Rating</t>
  </si>
  <si>
    <t>(blank)</t>
  </si>
  <si>
    <t>加總 - Error?</t>
  </si>
  <si>
    <t>Sum of Goal Contribution</t>
  </si>
  <si>
    <t>Goal source (assists)</t>
  </si>
  <si>
    <t>Sum of Assist</t>
  </si>
  <si>
    <t>Goal Source</t>
    <phoneticPr fontId="1" type="noConversion"/>
  </si>
  <si>
    <t>Goal method (left foot)</t>
    <phoneticPr fontId="1" type="noConversion"/>
  </si>
  <si>
    <t>Goal method (right foot)</t>
    <phoneticPr fontId="1" type="noConversion"/>
  </si>
  <si>
    <t>Ryan</t>
    <phoneticPr fontId="1" type="noConversion"/>
  </si>
  <si>
    <t>Darren</t>
    <phoneticPr fontId="1" type="noConversion"/>
  </si>
  <si>
    <t>平均值 - Goal Contribution</t>
  </si>
  <si>
    <t>Left Foot</t>
    <phoneticPr fontId="1" type="noConversion"/>
  </si>
  <si>
    <t>Row Labels</t>
  </si>
  <si>
    <t>Right Foot</t>
    <phoneticPr fontId="1" type="noConversion"/>
  </si>
  <si>
    <t>九龍仔</t>
  </si>
  <si>
    <t>加總 - Left Foot</t>
  </si>
  <si>
    <t>Sum of Right Foot</t>
  </si>
  <si>
    <t>Head</t>
    <phoneticPr fontId="1" type="noConversion"/>
  </si>
  <si>
    <t>中山紀念公園</t>
  </si>
  <si>
    <t>沙田運動場</t>
  </si>
  <si>
    <t>夏鼎基</t>
  </si>
  <si>
    <t>馬仔坑</t>
  </si>
  <si>
    <t>馬鞍山游樂場</t>
  </si>
  <si>
    <t>曾大屋</t>
  </si>
  <si>
    <t>Goal method (head)</t>
    <phoneticPr fontId="1" type="noConversion"/>
  </si>
  <si>
    <t>黃竹坑</t>
  </si>
  <si>
    <t>蒲崗村</t>
  </si>
  <si>
    <t>興華街西</t>
  </si>
  <si>
    <t>加總 - Head</t>
  </si>
  <si>
    <t>櫻桃街</t>
  </si>
  <si>
    <t>顯田</t>
  </si>
  <si>
    <t>雲景道</t>
  </si>
  <si>
    <t>摩士</t>
  </si>
  <si>
    <t>傑志</t>
  </si>
  <si>
    <t>跑馬地</t>
  </si>
  <si>
    <t>香港仔</t>
  </si>
  <si>
    <t>👟</t>
    <phoneticPr fontId="1" type="noConversion"/>
  </si>
  <si>
    <t>Date</t>
    <phoneticPr fontId="1" type="noConversion"/>
  </si>
  <si>
    <t>Contributor</t>
    <phoneticPr fontId="1" type="noConversion"/>
  </si>
  <si>
    <t>Symbol</t>
  </si>
  <si>
    <t>Goal</t>
    <phoneticPr fontId="1" type="noConversion"/>
  </si>
  <si>
    <t>Assist</t>
    <phoneticPr fontId="1" type="noConversion"/>
  </si>
  <si>
    <t>Rating</t>
    <phoneticPr fontId="1" type="noConversion"/>
  </si>
  <si>
    <t>Location</t>
    <phoneticPr fontId="1" type="noConversion"/>
  </si>
  <si>
    <t>Time</t>
    <phoneticPr fontId="1" type="noConversion"/>
  </si>
  <si>
    <t>Error?</t>
    <phoneticPr fontId="1" type="noConversion"/>
  </si>
  <si>
    <t>Goal Contribution</t>
    <phoneticPr fontId="1" type="noConversion"/>
  </si>
  <si>
    <t>source</t>
    <phoneticPr fontId="1" type="noConversion"/>
  </si>
  <si>
    <t>Other body parts</t>
    <phoneticPr fontId="1" type="noConversion"/>
  </si>
  <si>
    <t>Season</t>
  </si>
  <si>
    <t>黃竹坑</t>
    <phoneticPr fontId="1" type="noConversion"/>
  </si>
  <si>
    <t>馬哲</t>
  </si>
  <si>
    <t>Barry</t>
    <phoneticPr fontId="1" type="noConversion"/>
  </si>
  <si>
    <t>馬仔坑</t>
    <phoneticPr fontId="1" type="noConversion"/>
  </si>
  <si>
    <t>九龍仔</t>
    <phoneticPr fontId="1" type="noConversion"/>
  </si>
  <si>
    <t>愛秩序灣</t>
  </si>
  <si>
    <t>興華街西</t>
    <phoneticPr fontId="1" type="noConversion"/>
  </si>
  <si>
    <t>蒲崗村</t>
    <phoneticPr fontId="1" type="noConversion"/>
  </si>
  <si>
    <t>櫻桃街</t>
    <phoneticPr fontId="1" type="noConversion"/>
  </si>
  <si>
    <t>夏鼎基</t>
    <phoneticPr fontId="1" type="noConversion"/>
  </si>
  <si>
    <t>曾大屋</t>
    <phoneticPr fontId="1" type="noConversion"/>
  </si>
  <si>
    <t>顯田</t>
    <phoneticPr fontId="1" type="noConversion"/>
  </si>
  <si>
    <t>馬鞍山游樂場</t>
    <phoneticPr fontId="1" type="noConversion"/>
  </si>
  <si>
    <t>沙田運動場</t>
    <phoneticPr fontId="1" type="noConversion"/>
  </si>
  <si>
    <t>中山紀念公園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</si>
</sst>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_);[Red]\(0\)"/>
    <numFmt numFmtId="166" formatCode="[$-409]h:mm\ AM/PM;@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sz val="10"/>
      <color theme="1"/>
      <name val="Arial Unicode MS"/>
      <family val="2"/>
      <charset val="136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6" fontId="0" fillId="0" borderId="0" xfId="0" applyNumberFormat="1">
      <alignment vertical="center"/>
    </xf>
    <xf numFmtId="164" fontId="0" fillId="0" borderId="0" xfId="0" applyNumberForma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3">
    <dxf>
      <numFmt numFmtId="167" formatCode="0.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Sheet2!$V$15</c:f>
              <c:strCache>
                <c:ptCount val="1"/>
                <c:pt idx="0">
                  <c:v>Ryan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5-4B34-A522-4CE33D666E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5-4B34-A522-4CE33D666E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A5-4B34-A522-4CE33D666E1C}"/>
              </c:ext>
            </c:extLst>
          </c:dPt>
          <c:cat>
            <c:strRef>
              <c:f>Sheet2!$U$16:$U$18</c:f>
              <c:strCache>
                <c:ptCount val="3"/>
                <c:pt idx="0">
                  <c:v>Left Foot</c:v>
                </c:pt>
                <c:pt idx="1">
                  <c:v>Right Foot</c:v>
                </c:pt>
                <c:pt idx="2">
                  <c:v>Head</c:v>
                </c:pt>
              </c:strCache>
            </c:strRef>
          </c:cat>
          <c:val>
            <c:numRef>
              <c:f>Sheet2!$V$16:$V$18</c:f>
              <c:numCache>
                <c:formatCode>General</c:formatCode>
                <c:ptCount val="3"/>
                <c:pt idx="0">
                  <c:v>19</c:v>
                </c:pt>
                <c:pt idx="1">
                  <c:v>80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7-4417-8DCA-1FA405524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Sheet2!$W$15</c:f>
              <c:strCache>
                <c:ptCount val="1"/>
                <c:pt idx="0">
                  <c:v>Darren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33-45C7-BA19-EAB6C57606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33-45C7-BA19-EAB6C57606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33-45C7-BA19-EAB6C5760666}"/>
              </c:ext>
            </c:extLst>
          </c:dPt>
          <c:cat>
            <c:strRef>
              <c:f>Sheet2!$U$16:$U$18</c:f>
              <c:strCache>
                <c:ptCount val="3"/>
                <c:pt idx="0">
                  <c:v>Left Foot</c:v>
                </c:pt>
                <c:pt idx="1">
                  <c:v>Right Foot</c:v>
                </c:pt>
                <c:pt idx="2">
                  <c:v>Head</c:v>
                </c:pt>
              </c:strCache>
            </c:strRef>
          </c:cat>
          <c:val>
            <c:numRef>
              <c:f>Sheet2!$W$16:$W$18</c:f>
              <c:numCache>
                <c:formatCode>General</c:formatCode>
                <c:ptCount val="3"/>
                <c:pt idx="0">
                  <c:v>36</c:v>
                </c:pt>
                <c:pt idx="1">
                  <c:v>92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2-4F32-BA41-E63DAD308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Sheet2!$V$15</c15:sqref>
                        </c15:formulaRef>
                      </c:ext>
                    </c:extLst>
                    <c:strCache>
                      <c:ptCount val="1"/>
                      <c:pt idx="0">
                        <c:v>Ryan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C533-45C7-BA19-EAB6C576066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C533-45C7-BA19-EAB6C576066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C533-45C7-BA19-EAB6C5760666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Sheet2!$U$16:$U$18</c15:sqref>
                        </c15:formulaRef>
                      </c:ext>
                    </c:extLst>
                    <c:strCache>
                      <c:ptCount val="3"/>
                      <c:pt idx="0">
                        <c:v>Left Foot</c:v>
                      </c:pt>
                      <c:pt idx="1">
                        <c:v>Right Foot</c:v>
                      </c:pt>
                      <c:pt idx="2">
                        <c:v>Head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Sheet2!$V$16:$V$18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19</c:v>
                      </c:pt>
                      <c:pt idx="1">
                        <c:v>80</c:v>
                      </c:pt>
                      <c:pt idx="2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F2-4F32-BA41-E63DAD30805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683418</xdr:colOff>
      <xdr:row>33</xdr:row>
      <xdr:rowOff>78580</xdr:rowOff>
    </xdr:from>
    <xdr:to>
      <xdr:col>22</xdr:col>
      <xdr:colOff>35718</xdr:colOff>
      <xdr:row>49</xdr:row>
      <xdr:rowOff>11905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D821F32-9CE5-0CB3-97BA-E199442DE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307180</xdr:colOff>
      <xdr:row>32</xdr:row>
      <xdr:rowOff>164306</xdr:rowOff>
    </xdr:from>
    <xdr:to>
      <xdr:col>29</xdr:col>
      <xdr:colOff>345280</xdr:colOff>
      <xdr:row>48</xdr:row>
      <xdr:rowOff>97631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70233A-A42B-C71F-059E-3DC5B86740A8}"/>
            </a:ext>
            <a:ext uri="{147F2762-F138-4A5C-976F-8EAC2B608ADB}">
              <a16:predDERef xmlns:a16="http://schemas.microsoft.com/office/drawing/2014/main" pred="{CD821F32-9CE5-0CB3-97BA-E199442DE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485775</xdr:colOff>
      <xdr:row>1</xdr:row>
      <xdr:rowOff>123825</xdr:rowOff>
    </xdr:from>
    <xdr:to>
      <xdr:col>1</xdr:col>
      <xdr:colOff>438150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ason">
              <a:extLst>
                <a:ext uri="{FF2B5EF4-FFF2-40B4-BE49-F238E27FC236}">
                  <a16:creationId xmlns:a16="http://schemas.microsoft.com/office/drawing/2014/main" id="{AB5ED365-5655-F079-EA81-7158C7B15105}"/>
                </a:ext>
                <a:ext uri="{147F2762-F138-4A5C-976F-8EAC2B608ADB}">
                  <a16:predDERef xmlns:a16="http://schemas.microsoft.com/office/drawing/2014/main" pred="{3370233A-A42B-C71F-059E-3DC5B86740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775" y="38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8.615924421298" createdVersion="8" refreshedVersion="8" minRefreshableVersion="3" recordCount="137" xr:uid="{18D9AB19-09D6-43F2-9042-0570D4004908}">
  <cacheSource type="worksheet">
    <worksheetSource ref="A2:P9999" sheet="2025-2026"/>
  </cacheSource>
  <cacheFields count="16">
    <cacheField name="Date" numFmtId="0">
      <sharedItems containsNonDate="0" containsDate="1" containsString="0" containsBlank="1" minDate="2025-08-03T00:00:00" maxDate="2026-07-26T00:00:00"/>
    </cacheField>
    <cacheField name="Contributor" numFmtId="0">
      <sharedItems containsBlank="1" count="3">
        <s v="Ryan"/>
        <s v="Darren"/>
        <m/>
      </sharedItems>
    </cacheField>
    <cacheField name="Symbol" numFmtId="0">
      <sharedItems containsBlank="1"/>
    </cacheField>
    <cacheField name="Goal" numFmtId="0">
      <sharedItems containsString="0" containsBlank="1" containsNumber="1" containsInteger="1" minValue="0" maxValue="7"/>
    </cacheField>
    <cacheField name="Assist" numFmtId="0">
      <sharedItems containsString="0" containsBlank="1" containsNumber="1" containsInteger="1" minValue="0" maxValue="6"/>
    </cacheField>
    <cacheField name="Rating" numFmtId="0">
      <sharedItems containsString="0" containsBlank="1" containsNumber="1" minValue="6.2" maxValue="10"/>
    </cacheField>
    <cacheField name="Location" numFmtId="0">
      <sharedItems containsBlank="1" count="19">
        <s v="黃竹坑"/>
        <s v="雲景道"/>
        <s v="跑馬地"/>
        <s v="摩士"/>
        <s v="馬仔坑"/>
        <s v="傑志"/>
        <s v="九龍仔"/>
        <s v="愛秩序灣"/>
        <s v="香港仔"/>
        <s v="興華街西"/>
        <s v="蒲崗村"/>
        <s v="櫻桃街"/>
        <s v="夏鼎基"/>
        <s v="曾大屋"/>
        <s v="顯田"/>
        <s v="馬鞍山游樂場"/>
        <s v="沙田運動場"/>
        <s v="中山紀念公園"/>
        <m/>
      </sharedItems>
    </cacheField>
    <cacheField name="Time" numFmtId="166">
      <sharedItems containsNonDate="0" containsDate="1" containsString="0" containsBlank="1" minDate="1899-12-30T09:00:00" maxDate="1899-12-30T21:30:00"/>
    </cacheField>
    <cacheField name="Error?" numFmtId="165">
      <sharedItems containsString="0" containsBlank="1" containsNumber="1" containsInteger="1" minValue="1" maxValue="1"/>
    </cacheField>
    <cacheField name="Goal Contribution" numFmtId="165">
      <sharedItems containsString="0" containsBlank="1" containsNumber="1" containsInteger="1" minValue="0" maxValue="10"/>
    </cacheField>
    <cacheField name="source" numFmtId="0">
      <sharedItems containsBlank="1"/>
    </cacheField>
    <cacheField name="Left Foot" numFmtId="0">
      <sharedItems containsString="0" containsBlank="1" containsNumber="1" containsInteger="1" minValue="0" maxValue="3"/>
    </cacheField>
    <cacheField name="Right Foot" numFmtId="0">
      <sharedItems containsString="0" containsBlank="1" containsNumber="1" containsInteger="1" minValue="0" maxValue="6"/>
    </cacheField>
    <cacheField name="Head" numFmtId="0">
      <sharedItems containsString="0" containsBlank="1" containsNumber="1" containsInteger="1" minValue="0" maxValue="2"/>
    </cacheField>
    <cacheField name="Other body parts" numFmtId="0">
      <sharedItems containsString="0" containsBlank="1" containsNumber="1" containsInteger="1" minValue="0" maxValue="0"/>
    </cacheField>
    <cacheField name="Season" numFmtId="0">
      <sharedItems containsBlank="1" count="2">
        <s v="2025-2026"/>
        <m/>
      </sharedItems>
    </cacheField>
  </cacheFields>
  <extLst>
    <ext xmlns:x14="http://schemas.microsoft.com/office/spreadsheetml/2009/9/main" uri="{725AE2AE-9491-48be-B2B4-4EB974FC3084}">
      <x14:pivotCacheDefinition pivotCacheId="14708491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d v="2026-07-25T00:00:00"/>
    <x v="0"/>
    <s v="⚽⚽👟"/>
    <n v="2"/>
    <n v="1"/>
    <n v="9.8000000000000007"/>
    <x v="0"/>
    <d v="1899-12-30T09:30:00"/>
    <m/>
    <n v="3"/>
    <s v="Barry"/>
    <n v="0"/>
    <n v="2"/>
    <n v="0"/>
    <n v="0"/>
    <x v="0"/>
  </r>
  <r>
    <d v="2026-07-25T00:00:00"/>
    <x v="1"/>
    <s v="👟👟"/>
    <n v="0"/>
    <n v="2"/>
    <n v="8.4"/>
    <x v="0"/>
    <d v="1899-12-30T09:30:00"/>
    <m/>
    <n v="2"/>
    <s v="Barry"/>
    <n v="0"/>
    <n v="0"/>
    <n v="0"/>
    <n v="0"/>
    <x v="0"/>
  </r>
  <r>
    <d v="2026-07-19T00:00:00"/>
    <x v="0"/>
    <s v="⚽"/>
    <n v="1"/>
    <n v="0"/>
    <n v="7.4"/>
    <x v="1"/>
    <d v="1899-12-30T16:30:00"/>
    <m/>
    <n v="1"/>
    <s v="梁哥"/>
    <n v="0"/>
    <n v="1"/>
    <n v="0"/>
    <n v="0"/>
    <x v="0"/>
  </r>
  <r>
    <d v="2026-07-18T00:00:00"/>
    <x v="0"/>
    <s v="⚽⚽⚽"/>
    <n v="3"/>
    <n v="0"/>
    <n v="9.6999999999999993"/>
    <x v="2"/>
    <d v="1899-12-30T11:30:00"/>
    <m/>
    <n v="3"/>
    <s v="Barry"/>
    <n v="1"/>
    <n v="2"/>
    <n v="0"/>
    <n v="0"/>
    <x v="0"/>
  </r>
  <r>
    <d v="2026-07-12T00:00:00"/>
    <x v="0"/>
    <s v="⚽👟"/>
    <n v="1"/>
    <n v="1"/>
    <n v="8.6999999999999993"/>
    <x v="1"/>
    <d v="1899-12-30T16:30:00"/>
    <m/>
    <n v="2"/>
    <s v="梁哥"/>
    <n v="0"/>
    <n v="1"/>
    <n v="0"/>
    <n v="0"/>
    <x v="0"/>
  </r>
  <r>
    <d v="2026-07-12T00:00:00"/>
    <x v="1"/>
    <s v="⚽⚽⚽👟"/>
    <n v="3"/>
    <n v="1"/>
    <n v="9.9"/>
    <x v="1"/>
    <d v="1899-12-30T16:30:00"/>
    <m/>
    <n v="4"/>
    <s v="梁哥"/>
    <n v="1"/>
    <n v="1"/>
    <n v="1"/>
    <n v="0"/>
    <x v="0"/>
  </r>
  <r>
    <d v="2026-07-09T00:00:00"/>
    <x v="0"/>
    <s v="⚽👟👟"/>
    <n v="1"/>
    <n v="2"/>
    <n v="8.6999999999999993"/>
    <x v="3"/>
    <d v="1899-12-30T20:00:00"/>
    <n v="1"/>
    <n v="3"/>
    <s v="馬哲"/>
    <n v="0"/>
    <n v="1"/>
    <n v="0"/>
    <n v="0"/>
    <x v="0"/>
  </r>
  <r>
    <d v="2026-07-09T00:00:00"/>
    <x v="1"/>
    <s v="⚽⚽⚽👟"/>
    <n v="3"/>
    <n v="1"/>
    <n v="9.8000000000000007"/>
    <x v="3"/>
    <d v="1899-12-30T20:00:00"/>
    <m/>
    <n v="4"/>
    <s v="馬哲"/>
    <n v="2"/>
    <n v="1"/>
    <n v="0"/>
    <n v="0"/>
    <x v="0"/>
  </r>
  <r>
    <d v="2026-07-05T00:00:00"/>
    <x v="0"/>
    <s v="⚽⚽⚽⚽"/>
    <n v="4"/>
    <n v="0"/>
    <n v="10"/>
    <x v="3"/>
    <d v="1899-12-30T11:30:00"/>
    <m/>
    <n v="4"/>
    <s v="Barry"/>
    <n v="0"/>
    <n v="4"/>
    <n v="0"/>
    <n v="0"/>
    <x v="0"/>
  </r>
  <r>
    <d v="2026-07-05T00:00:00"/>
    <x v="1"/>
    <s v="👟👟👟👟"/>
    <n v="0"/>
    <n v="4"/>
    <n v="10"/>
    <x v="3"/>
    <d v="1899-12-30T11:30:00"/>
    <m/>
    <n v="4"/>
    <s v="Barry"/>
    <n v="0"/>
    <n v="0"/>
    <n v="0"/>
    <n v="0"/>
    <x v="0"/>
  </r>
  <r>
    <d v="2026-07-01T00:00:00"/>
    <x v="0"/>
    <s v="⚽⚽👟"/>
    <n v="2"/>
    <n v="1"/>
    <n v="10"/>
    <x v="4"/>
    <d v="1899-12-30T10:45:00"/>
    <m/>
    <n v="3"/>
    <s v="Barry"/>
    <n v="1"/>
    <n v="1"/>
    <n v="0"/>
    <n v="0"/>
    <x v="0"/>
  </r>
  <r>
    <d v="2026-07-01T00:00:00"/>
    <x v="1"/>
    <s v="⚽⚽👟"/>
    <n v="2"/>
    <n v="1"/>
    <n v="9.9"/>
    <x v="4"/>
    <d v="1899-12-30T10:45:00"/>
    <m/>
    <n v="3"/>
    <s v="Barry"/>
    <n v="1"/>
    <n v="1"/>
    <n v="0"/>
    <n v="0"/>
    <x v="0"/>
  </r>
  <r>
    <d v="2026-06-21T00:00:00"/>
    <x v="0"/>
    <s v="⚽👟👟👟"/>
    <n v="1"/>
    <n v="3"/>
    <n v="9.8000000000000007"/>
    <x v="5"/>
    <d v="1899-12-30T10:30:00"/>
    <m/>
    <n v="4"/>
    <s v="Barry"/>
    <n v="0"/>
    <n v="1"/>
    <n v="0"/>
    <n v="0"/>
    <x v="0"/>
  </r>
  <r>
    <d v="2026-06-21T00:00:00"/>
    <x v="1"/>
    <s v="⚽⚽⚽⚽"/>
    <n v="4"/>
    <n v="0"/>
    <n v="9.8000000000000007"/>
    <x v="5"/>
    <d v="1899-12-30T10:30:00"/>
    <m/>
    <n v="4"/>
    <s v="Barry"/>
    <n v="3"/>
    <n v="1"/>
    <n v="0"/>
    <n v="0"/>
    <x v="0"/>
  </r>
  <r>
    <d v="2026-06-19T00:00:00"/>
    <x v="0"/>
    <s v="⚽⚽"/>
    <n v="2"/>
    <n v="0"/>
    <n v="8.8000000000000007"/>
    <x v="2"/>
    <d v="1899-12-30T09:30:00"/>
    <m/>
    <n v="2"/>
    <s v="Barry"/>
    <n v="0"/>
    <n v="2"/>
    <n v="0"/>
    <n v="0"/>
    <x v="0"/>
  </r>
  <r>
    <d v="2026-06-19T00:00:00"/>
    <x v="1"/>
    <s v="⚽"/>
    <n v="1"/>
    <n v="0"/>
    <n v="8.8000000000000007"/>
    <x v="2"/>
    <d v="1899-12-30T09:30:00"/>
    <m/>
    <n v="1"/>
    <s v="Barry"/>
    <n v="1"/>
    <n v="0"/>
    <n v="0"/>
    <n v="0"/>
    <x v="0"/>
  </r>
  <r>
    <d v="2026-06-11T00:00:00"/>
    <x v="0"/>
    <s v=""/>
    <n v="0"/>
    <n v="0"/>
    <n v="6.8"/>
    <x v="6"/>
    <d v="1899-12-30T20:00:00"/>
    <m/>
    <n v="0"/>
    <s v="馬哲"/>
    <n v="0"/>
    <n v="0"/>
    <n v="0"/>
    <n v="0"/>
    <x v="0"/>
  </r>
  <r>
    <d v="2026-06-11T00:00:00"/>
    <x v="1"/>
    <s v=""/>
    <n v="0"/>
    <n v="0"/>
    <n v="7"/>
    <x v="6"/>
    <d v="1899-12-30T20:00:00"/>
    <m/>
    <n v="0"/>
    <s v="馬哲"/>
    <n v="0"/>
    <n v="0"/>
    <n v="0"/>
    <n v="0"/>
    <x v="0"/>
  </r>
  <r>
    <d v="2026-06-04T00:00:00"/>
    <x v="0"/>
    <s v="⚽👟"/>
    <n v="1"/>
    <n v="1"/>
    <n v="8.4"/>
    <x v="3"/>
    <d v="1899-12-30T20:00:00"/>
    <m/>
    <n v="2"/>
    <s v="馬哲"/>
    <n v="1"/>
    <n v="0"/>
    <n v="0"/>
    <n v="0"/>
    <x v="0"/>
  </r>
  <r>
    <d v="2026-06-04T00:00:00"/>
    <x v="1"/>
    <s v="⚽⚽⚽⚽👟👟"/>
    <n v="4"/>
    <n v="2"/>
    <n v="10"/>
    <x v="3"/>
    <d v="1899-12-30T20:00:00"/>
    <m/>
    <n v="6"/>
    <s v="馬哲"/>
    <n v="0"/>
    <n v="3"/>
    <n v="1"/>
    <n v="0"/>
    <x v="0"/>
  </r>
  <r>
    <d v="2026-05-31T00:00:00"/>
    <x v="0"/>
    <s v="⚽👟"/>
    <n v="1"/>
    <n v="1"/>
    <n v="10"/>
    <x v="1"/>
    <d v="1899-12-30T16:30:00"/>
    <m/>
    <n v="2"/>
    <s v="梁哥"/>
    <n v="0"/>
    <n v="1"/>
    <n v="0"/>
    <n v="0"/>
    <x v="0"/>
  </r>
  <r>
    <d v="2026-05-31T00:00:00"/>
    <x v="1"/>
    <s v="⚽⚽⚽👟👟👟"/>
    <n v="3"/>
    <n v="3"/>
    <n v="8.3000000000000007"/>
    <x v="1"/>
    <d v="1899-12-30T16:30:00"/>
    <m/>
    <n v="6"/>
    <s v="梁哥"/>
    <n v="0"/>
    <n v="2"/>
    <n v="1"/>
    <n v="0"/>
    <x v="0"/>
  </r>
  <r>
    <d v="2026-05-24T00:00:00"/>
    <x v="1"/>
    <s v="⚽"/>
    <n v="1"/>
    <n v="0"/>
    <n v="8.4"/>
    <x v="2"/>
    <d v="1899-12-30T09:30:00"/>
    <m/>
    <n v="1"/>
    <s v="Barry"/>
    <n v="0"/>
    <n v="1"/>
    <n v="0"/>
    <n v="0"/>
    <x v="0"/>
  </r>
  <r>
    <d v="2026-05-24T00:00:00"/>
    <x v="0"/>
    <s v="⚽⚽👟"/>
    <n v="2"/>
    <n v="1"/>
    <n v="8.3000000000000007"/>
    <x v="2"/>
    <d v="1899-12-30T09:30:00"/>
    <m/>
    <n v="3"/>
    <s v="Barry"/>
    <n v="1"/>
    <n v="1"/>
    <n v="0"/>
    <n v="0"/>
    <x v="0"/>
  </r>
  <r>
    <d v="2026-05-22T00:00:00"/>
    <x v="1"/>
    <s v="⚽👟"/>
    <n v="1"/>
    <n v="1"/>
    <n v="8.6999999999999993"/>
    <x v="7"/>
    <d v="1899-12-30T21:00:00"/>
    <m/>
    <n v="2"/>
    <s v="Barry"/>
    <n v="0"/>
    <n v="1"/>
    <n v="0"/>
    <n v="0"/>
    <x v="0"/>
  </r>
  <r>
    <d v="2026-05-17T00:00:00"/>
    <x v="0"/>
    <s v="⚽⚽👟👟"/>
    <n v="2"/>
    <n v="2"/>
    <n v="10"/>
    <x v="2"/>
    <d v="1899-12-30T09:30:00"/>
    <m/>
    <n v="4"/>
    <s v="Barry"/>
    <n v="0"/>
    <n v="2"/>
    <n v="0"/>
    <n v="0"/>
    <x v="0"/>
  </r>
  <r>
    <d v="2026-05-17T00:00:00"/>
    <x v="1"/>
    <s v="⚽⚽👟"/>
    <n v="2"/>
    <n v="1"/>
    <n v="9.1999999999999993"/>
    <x v="2"/>
    <d v="1899-12-30T09:30:00"/>
    <m/>
    <n v="3"/>
    <s v="Barry"/>
    <n v="0"/>
    <n v="2"/>
    <n v="0"/>
    <n v="0"/>
    <x v="0"/>
  </r>
  <r>
    <d v="2026-05-12T00:00:00"/>
    <x v="0"/>
    <s v="⚽👟"/>
    <n v="1"/>
    <n v="1"/>
    <n v="8.5"/>
    <x v="3"/>
    <d v="1899-12-30T20:00:00"/>
    <m/>
    <n v="2"/>
    <s v="馬哲"/>
    <n v="0"/>
    <n v="0"/>
    <n v="1"/>
    <n v="0"/>
    <x v="0"/>
  </r>
  <r>
    <d v="2026-05-10T00:00:00"/>
    <x v="0"/>
    <s v=""/>
    <n v="0"/>
    <n v="0"/>
    <n v="6.9"/>
    <x v="5"/>
    <d v="1899-12-30T10:30:00"/>
    <m/>
    <n v="0"/>
    <s v="Barry"/>
    <n v="0"/>
    <n v="0"/>
    <n v="0"/>
    <n v="0"/>
    <x v="0"/>
  </r>
  <r>
    <d v="2026-05-10T00:00:00"/>
    <x v="0"/>
    <s v="⚽👟👟"/>
    <n v="1"/>
    <n v="2"/>
    <n v="9.4"/>
    <x v="2"/>
    <d v="1899-12-30T15:30:00"/>
    <m/>
    <n v="3"/>
    <s v="Barry"/>
    <n v="0"/>
    <n v="1"/>
    <n v="0"/>
    <n v="0"/>
    <x v="0"/>
  </r>
  <r>
    <d v="2026-05-10T00:00:00"/>
    <x v="1"/>
    <s v="⚽⚽👟"/>
    <n v="2"/>
    <n v="1"/>
    <n v="9.6999999999999993"/>
    <x v="2"/>
    <d v="1899-12-30T15:30:00"/>
    <m/>
    <n v="3"/>
    <s v="Barry"/>
    <n v="0"/>
    <n v="2"/>
    <n v="0"/>
    <n v="0"/>
    <x v="0"/>
  </r>
  <r>
    <d v="2026-04-26T00:00:00"/>
    <x v="1"/>
    <s v="⚽"/>
    <n v="1"/>
    <n v="0"/>
    <n v="8.4"/>
    <x v="5"/>
    <d v="1899-12-30T10:30:00"/>
    <m/>
    <n v="1"/>
    <s v="Barry"/>
    <n v="0"/>
    <n v="0"/>
    <n v="1"/>
    <n v="0"/>
    <x v="0"/>
  </r>
  <r>
    <d v="2026-04-26T00:00:00"/>
    <x v="0"/>
    <s v="⚽👟👟"/>
    <n v="1"/>
    <n v="2"/>
    <n v="9.4"/>
    <x v="5"/>
    <d v="1899-12-30T10:30:00"/>
    <m/>
    <n v="3"/>
    <s v="Barry"/>
    <n v="0"/>
    <n v="1"/>
    <n v="0"/>
    <n v="0"/>
    <x v="0"/>
  </r>
  <r>
    <d v="2026-04-19T00:00:00"/>
    <x v="1"/>
    <s v="⚽⚽⚽👟👟"/>
    <n v="3"/>
    <n v="2"/>
    <n v="10"/>
    <x v="1"/>
    <d v="1899-12-30T16:00:00"/>
    <m/>
    <n v="5"/>
    <s v="梁哥"/>
    <n v="2"/>
    <n v="1"/>
    <n v="0"/>
    <n v="0"/>
    <x v="0"/>
  </r>
  <r>
    <d v="2026-04-19T00:00:00"/>
    <x v="0"/>
    <s v="⚽⚽"/>
    <n v="2"/>
    <n v="0"/>
    <n v="8.6999999999999993"/>
    <x v="1"/>
    <d v="1899-12-30T16:00:00"/>
    <m/>
    <n v="2"/>
    <s v="梁哥"/>
    <n v="2"/>
    <n v="0"/>
    <n v="0"/>
    <n v="0"/>
    <x v="0"/>
  </r>
  <r>
    <d v="2026-04-12T00:00:00"/>
    <x v="1"/>
    <s v="⚽👟"/>
    <n v="1"/>
    <n v="1"/>
    <n v="8.6"/>
    <x v="8"/>
    <d v="1899-12-30T11:30:00"/>
    <m/>
    <n v="2"/>
    <s v="Barry"/>
    <n v="0"/>
    <n v="0"/>
    <n v="1"/>
    <n v="0"/>
    <x v="0"/>
  </r>
  <r>
    <d v="2026-04-12T00:00:00"/>
    <x v="0"/>
    <s v="⚽⚽⚽👟"/>
    <n v="3"/>
    <n v="1"/>
    <n v="9.9"/>
    <x v="8"/>
    <d v="1899-12-30T11:30:00"/>
    <m/>
    <n v="4"/>
    <s v="Barry"/>
    <n v="0"/>
    <n v="3"/>
    <n v="0"/>
    <n v="0"/>
    <x v="0"/>
  </r>
  <r>
    <d v="2026-04-07T00:00:00"/>
    <x v="0"/>
    <s v="⚽👟"/>
    <n v="1"/>
    <n v="1"/>
    <n v="9.1"/>
    <x v="2"/>
    <d v="1899-12-30T11:30:00"/>
    <m/>
    <n v="2"/>
    <s v="Barry"/>
    <n v="0"/>
    <n v="1"/>
    <n v="0"/>
    <n v="0"/>
    <x v="0"/>
  </r>
  <r>
    <d v="2026-04-07T00:00:00"/>
    <x v="1"/>
    <s v="⚽⚽⚽"/>
    <n v="3"/>
    <n v="0"/>
    <n v="9.6"/>
    <x v="2"/>
    <d v="1899-12-30T11:30:00"/>
    <m/>
    <n v="3"/>
    <s v="Barry"/>
    <n v="0"/>
    <n v="2"/>
    <n v="1"/>
    <n v="0"/>
    <x v="0"/>
  </r>
  <r>
    <d v="2026-04-01T00:00:00"/>
    <x v="0"/>
    <s v="⚽⚽👟👟"/>
    <n v="2"/>
    <n v="2"/>
    <n v="10"/>
    <x v="9"/>
    <d v="1899-12-30T20:00:00"/>
    <m/>
    <n v="4"/>
    <s v="馬哲"/>
    <n v="1"/>
    <n v="1"/>
    <n v="0"/>
    <n v="0"/>
    <x v="0"/>
  </r>
  <r>
    <d v="2026-04-01T00:00:00"/>
    <x v="1"/>
    <s v="⚽⚽⚽👟"/>
    <n v="3"/>
    <n v="1"/>
    <n v="10"/>
    <x v="9"/>
    <d v="1899-12-30T20:00:00"/>
    <m/>
    <n v="4"/>
    <s v="馬哲"/>
    <n v="1"/>
    <n v="2"/>
    <n v="0"/>
    <n v="0"/>
    <x v="0"/>
  </r>
  <r>
    <d v="2026-03-29T00:00:00"/>
    <x v="0"/>
    <s v="⚽⚽👟"/>
    <n v="2"/>
    <n v="1"/>
    <n v="9.3000000000000007"/>
    <x v="1"/>
    <d v="1899-12-30T16:00:00"/>
    <m/>
    <n v="3"/>
    <s v="梁哥"/>
    <n v="0"/>
    <n v="2"/>
    <n v="0"/>
    <n v="0"/>
    <x v="0"/>
  </r>
  <r>
    <d v="2026-03-29T00:00:00"/>
    <x v="1"/>
    <s v="⚽⚽⚽👟👟"/>
    <n v="3"/>
    <n v="2"/>
    <n v="10"/>
    <x v="1"/>
    <d v="1899-12-30T16:00:00"/>
    <m/>
    <n v="5"/>
    <s v="梁哥"/>
    <n v="0"/>
    <n v="2"/>
    <n v="1"/>
    <n v="0"/>
    <x v="0"/>
  </r>
  <r>
    <d v="2026-03-28T00:00:00"/>
    <x v="0"/>
    <s v="⚽👟"/>
    <n v="1"/>
    <n v="1"/>
    <n v="8.6"/>
    <x v="10"/>
    <d v="1899-12-30T14:30:00"/>
    <m/>
    <n v="2"/>
    <s v="Barry"/>
    <n v="0"/>
    <n v="0"/>
    <n v="1"/>
    <n v="0"/>
    <x v="0"/>
  </r>
  <r>
    <d v="2026-03-26T00:00:00"/>
    <x v="1"/>
    <s v="⚽👟"/>
    <n v="1"/>
    <n v="1"/>
    <n v="8.5"/>
    <x v="3"/>
    <d v="1899-12-30T20:00:00"/>
    <m/>
    <n v="2"/>
    <s v="馬哲"/>
    <n v="0"/>
    <n v="1"/>
    <n v="0"/>
    <n v="0"/>
    <x v="0"/>
  </r>
  <r>
    <d v="2026-03-22T00:00:00"/>
    <x v="0"/>
    <s v="⚽⚽👟👟👟👟👟👟"/>
    <n v="2"/>
    <n v="6"/>
    <n v="10"/>
    <x v="1"/>
    <d v="1899-12-30T16:00:00"/>
    <m/>
    <n v="8"/>
    <s v="梁哥"/>
    <n v="1"/>
    <n v="1"/>
    <n v="0"/>
    <n v="0"/>
    <x v="0"/>
  </r>
  <r>
    <d v="2026-03-22T00:00:00"/>
    <x v="1"/>
    <s v="⚽⚽⚽👟"/>
    <n v="3"/>
    <n v="1"/>
    <n v="9.8000000000000007"/>
    <x v="1"/>
    <d v="1899-12-30T16:00:00"/>
    <m/>
    <n v="4"/>
    <s v="梁哥"/>
    <n v="0"/>
    <n v="2"/>
    <n v="1"/>
    <n v="0"/>
    <x v="0"/>
  </r>
  <r>
    <d v="2026-03-16T00:00:00"/>
    <x v="0"/>
    <s v="👟"/>
    <n v="0"/>
    <n v="1"/>
    <n v="7.3"/>
    <x v="3"/>
    <d v="1899-12-30T20:00:00"/>
    <n v="1"/>
    <n v="1"/>
    <s v="馬哲"/>
    <n v="0"/>
    <n v="0"/>
    <n v="0"/>
    <n v="0"/>
    <x v="0"/>
  </r>
  <r>
    <d v="2026-03-16T00:00:00"/>
    <x v="1"/>
    <s v="⚽👟"/>
    <n v="1"/>
    <n v="1"/>
    <n v="8.6999999999999993"/>
    <x v="3"/>
    <d v="1899-12-30T20:00:00"/>
    <m/>
    <n v="2"/>
    <s v="馬哲"/>
    <n v="0"/>
    <n v="0"/>
    <n v="1"/>
    <n v="0"/>
    <x v="0"/>
  </r>
  <r>
    <d v="2026-03-14T00:00:00"/>
    <x v="0"/>
    <s v="⚽⚽⚽👟👟"/>
    <n v="3"/>
    <n v="2"/>
    <n v="10"/>
    <x v="2"/>
    <d v="1899-12-30T11:30:00"/>
    <m/>
    <n v="5"/>
    <s v="Barry"/>
    <n v="2"/>
    <n v="1"/>
    <n v="0"/>
    <n v="0"/>
    <x v="0"/>
  </r>
  <r>
    <d v="2026-03-14T00:00:00"/>
    <x v="1"/>
    <s v="⚽⚽⚽👟👟👟"/>
    <n v="3"/>
    <n v="3"/>
    <n v="10"/>
    <x v="2"/>
    <d v="1899-12-30T11:30:00"/>
    <m/>
    <n v="6"/>
    <s v="Barry"/>
    <n v="1"/>
    <n v="2"/>
    <n v="0"/>
    <n v="0"/>
    <x v="0"/>
  </r>
  <r>
    <d v="2026-03-09T00:00:00"/>
    <x v="0"/>
    <s v="⚽⚽⚽"/>
    <n v="3"/>
    <n v="0"/>
    <n v="9.6"/>
    <x v="11"/>
    <d v="1899-12-30T20:00:00"/>
    <m/>
    <n v="3"/>
    <s v="馬哲"/>
    <n v="1"/>
    <n v="1"/>
    <n v="1"/>
    <n v="0"/>
    <x v="0"/>
  </r>
  <r>
    <d v="2026-03-09T00:00:00"/>
    <x v="1"/>
    <s v="⚽⚽⚽👟"/>
    <n v="3"/>
    <n v="1"/>
    <n v="9.8000000000000007"/>
    <x v="11"/>
    <d v="1899-12-30T20:00:00"/>
    <m/>
    <n v="4"/>
    <s v="馬哲"/>
    <n v="1"/>
    <n v="2"/>
    <n v="0"/>
    <n v="0"/>
    <x v="0"/>
  </r>
  <r>
    <d v="2026-03-08T00:00:00"/>
    <x v="0"/>
    <s v="⚽⚽⚽👟"/>
    <n v="3"/>
    <n v="1"/>
    <n v="9.6999999999999993"/>
    <x v="1"/>
    <d v="1899-12-30T16:00:00"/>
    <m/>
    <n v="4"/>
    <s v="梁哥"/>
    <n v="0"/>
    <n v="3"/>
    <n v="0"/>
    <n v="0"/>
    <x v="0"/>
  </r>
  <r>
    <d v="2026-03-08T00:00:00"/>
    <x v="1"/>
    <s v="⚽⚽⚽👟"/>
    <n v="3"/>
    <n v="1"/>
    <n v="9.6999999999999993"/>
    <x v="1"/>
    <d v="1899-12-30T16:00:00"/>
    <m/>
    <n v="4"/>
    <s v="梁哥"/>
    <n v="0"/>
    <n v="3"/>
    <n v="0"/>
    <n v="0"/>
    <x v="0"/>
  </r>
  <r>
    <d v="2026-03-01T00:00:00"/>
    <x v="0"/>
    <s v="⚽⚽⚽👟👟👟👟👟"/>
    <n v="3"/>
    <n v="5"/>
    <n v="10"/>
    <x v="1"/>
    <d v="1899-12-30T16:00:00"/>
    <m/>
    <n v="8"/>
    <s v="梁哥"/>
    <n v="1"/>
    <n v="2"/>
    <n v="0"/>
    <n v="0"/>
    <x v="0"/>
  </r>
  <r>
    <d v="2026-03-01T00:00:00"/>
    <x v="1"/>
    <s v="⚽⚽⚽⚽⚽👟"/>
    <n v="5"/>
    <n v="1"/>
    <n v="10"/>
    <x v="1"/>
    <d v="1899-12-30T16:00:00"/>
    <m/>
    <n v="6"/>
    <s v="梁哥"/>
    <n v="0"/>
    <n v="4"/>
    <n v="1"/>
    <n v="0"/>
    <x v="0"/>
  </r>
  <r>
    <d v="2026-02-22T00:00:00"/>
    <x v="0"/>
    <s v="⚽👟"/>
    <n v="1"/>
    <n v="1"/>
    <n v="8.6999999999999993"/>
    <x v="12"/>
    <d v="1899-12-30T10:00:00"/>
    <m/>
    <n v="2"/>
    <s v="Barry"/>
    <n v="0"/>
    <n v="1"/>
    <n v="0"/>
    <n v="0"/>
    <x v="0"/>
  </r>
  <r>
    <d v="2026-02-22T00:00:00"/>
    <x v="1"/>
    <s v=""/>
    <n v="0"/>
    <n v="0"/>
    <n v="7.1"/>
    <x v="12"/>
    <d v="1899-12-30T10:00:00"/>
    <m/>
    <n v="0"/>
    <s v="Barry"/>
    <n v="0"/>
    <n v="0"/>
    <n v="0"/>
    <n v="0"/>
    <x v="0"/>
  </r>
  <r>
    <d v="2026-02-19T00:00:00"/>
    <x v="0"/>
    <s v="⚽👟"/>
    <n v="1"/>
    <n v="1"/>
    <n v="8.4"/>
    <x v="2"/>
    <d v="1899-12-30T11:30:00"/>
    <m/>
    <n v="2"/>
    <s v="Barry"/>
    <n v="0"/>
    <n v="1"/>
    <n v="0"/>
    <n v="0"/>
    <x v="0"/>
  </r>
  <r>
    <d v="2026-02-19T00:00:00"/>
    <x v="1"/>
    <s v="⚽⚽"/>
    <n v="2"/>
    <n v="0"/>
    <n v="8.4"/>
    <x v="2"/>
    <d v="1899-12-30T11:30:00"/>
    <m/>
    <n v="2"/>
    <s v="Barry"/>
    <n v="0"/>
    <n v="2"/>
    <n v="0"/>
    <n v="0"/>
    <x v="0"/>
  </r>
  <r>
    <d v="2026-02-15T00:00:00"/>
    <x v="0"/>
    <s v="⚽👟👟"/>
    <n v="1"/>
    <n v="2"/>
    <n v="9.9"/>
    <x v="2"/>
    <d v="1899-12-30T11:30:00"/>
    <m/>
    <n v="3"/>
    <s v="Barry"/>
    <n v="1"/>
    <n v="0"/>
    <n v="0"/>
    <n v="0"/>
    <x v="0"/>
  </r>
  <r>
    <d v="2026-02-15T00:00:00"/>
    <x v="1"/>
    <s v="⚽⚽👟👟👟"/>
    <n v="2"/>
    <n v="3"/>
    <n v="10"/>
    <x v="2"/>
    <d v="1899-12-30T11:30:00"/>
    <m/>
    <n v="5"/>
    <s v="Barry"/>
    <n v="0"/>
    <n v="1"/>
    <n v="1"/>
    <n v="0"/>
    <x v="0"/>
  </r>
  <r>
    <d v="2026-02-15T00:00:00"/>
    <x v="0"/>
    <s v="👟"/>
    <n v="0"/>
    <n v="1"/>
    <n v="7.8"/>
    <x v="5"/>
    <d v="1899-12-30T10:30:00"/>
    <m/>
    <n v="1"/>
    <s v="Barry"/>
    <n v="0"/>
    <n v="0"/>
    <n v="0"/>
    <n v="0"/>
    <x v="0"/>
  </r>
  <r>
    <d v="2026-02-04T00:00:00"/>
    <x v="0"/>
    <s v="⚽👟👟👟👟"/>
    <n v="1"/>
    <n v="4"/>
    <n v="10"/>
    <x v="3"/>
    <d v="1899-12-30T20:00:00"/>
    <m/>
    <n v="5"/>
    <s v="馬哲"/>
    <n v="1"/>
    <n v="0"/>
    <n v="0"/>
    <n v="0"/>
    <x v="0"/>
  </r>
  <r>
    <d v="2026-02-04T00:00:00"/>
    <x v="1"/>
    <s v="⚽⚽⚽⚽⚽⚽⚽👟👟"/>
    <n v="7"/>
    <n v="2"/>
    <n v="10"/>
    <x v="3"/>
    <d v="1899-12-30T20:00:00"/>
    <m/>
    <n v="9"/>
    <s v="馬哲"/>
    <n v="1"/>
    <n v="6"/>
    <n v="0"/>
    <n v="0"/>
    <x v="0"/>
  </r>
  <r>
    <d v="2026-02-01T00:00:00"/>
    <x v="0"/>
    <s v="⚽⚽"/>
    <n v="2"/>
    <n v="0"/>
    <n v="8.1999999999999993"/>
    <x v="0"/>
    <d v="1899-12-30T11:30:00"/>
    <m/>
    <n v="2"/>
    <s v="Barry"/>
    <n v="0"/>
    <n v="2"/>
    <n v="0"/>
    <n v="0"/>
    <x v="0"/>
  </r>
  <r>
    <d v="2026-02-01T00:00:00"/>
    <x v="1"/>
    <s v="⚽⚽"/>
    <n v="2"/>
    <n v="0"/>
    <n v="8.1999999999999993"/>
    <x v="0"/>
    <d v="1899-12-30T11:30:00"/>
    <m/>
    <n v="2"/>
    <s v="Barry"/>
    <n v="1"/>
    <n v="1"/>
    <n v="0"/>
    <n v="0"/>
    <x v="0"/>
  </r>
  <r>
    <d v="2026-01-27T00:00:00"/>
    <x v="0"/>
    <s v="⚽👟"/>
    <n v="1"/>
    <n v="1"/>
    <n v="9.1"/>
    <x v="9"/>
    <d v="1899-12-30T20:00:00"/>
    <m/>
    <n v="2"/>
    <s v="馬哲"/>
    <n v="0"/>
    <n v="1"/>
    <n v="0"/>
    <n v="0"/>
    <x v="0"/>
  </r>
  <r>
    <d v="2026-01-27T00:00:00"/>
    <x v="1"/>
    <s v="⚽⚽⚽👟"/>
    <n v="3"/>
    <n v="1"/>
    <n v="10"/>
    <x v="9"/>
    <d v="1899-12-30T20:00:00"/>
    <m/>
    <n v="4"/>
    <s v="馬哲"/>
    <n v="0"/>
    <n v="3"/>
    <n v="0"/>
    <n v="0"/>
    <x v="0"/>
  </r>
  <r>
    <d v="2026-01-25T00:00:00"/>
    <x v="0"/>
    <s v="⚽"/>
    <n v="1"/>
    <n v="0"/>
    <n v="7.9"/>
    <x v="5"/>
    <d v="1899-12-30T10:30:00"/>
    <m/>
    <n v="1"/>
    <s v="Barry"/>
    <n v="0"/>
    <n v="1"/>
    <n v="0"/>
    <n v="0"/>
    <x v="0"/>
  </r>
  <r>
    <d v="2026-01-17T00:00:00"/>
    <x v="0"/>
    <s v="⚽👟"/>
    <n v="1"/>
    <n v="1"/>
    <n v="9.1999999999999993"/>
    <x v="4"/>
    <d v="1899-12-30T10:45:00"/>
    <m/>
    <n v="2"/>
    <s v="Barry"/>
    <n v="1"/>
    <n v="0"/>
    <n v="0"/>
    <n v="0"/>
    <x v="0"/>
  </r>
  <r>
    <d v="2026-01-17T00:00:00"/>
    <x v="1"/>
    <s v="⚽⚽"/>
    <n v="2"/>
    <n v="0"/>
    <n v="8.8000000000000007"/>
    <x v="4"/>
    <d v="1899-12-30T10:45:00"/>
    <m/>
    <n v="2"/>
    <s v="Barry"/>
    <n v="1"/>
    <n v="1"/>
    <n v="0"/>
    <n v="0"/>
    <x v="0"/>
  </r>
  <r>
    <d v="2026-01-14T00:00:00"/>
    <x v="0"/>
    <s v="⚽⚽👟👟👟👟👟"/>
    <n v="2"/>
    <n v="5"/>
    <n v="10"/>
    <x v="9"/>
    <d v="1899-12-30T20:00:00"/>
    <m/>
    <n v="7"/>
    <s v="馬哲"/>
    <n v="0"/>
    <n v="2"/>
    <n v="0"/>
    <n v="0"/>
    <x v="0"/>
  </r>
  <r>
    <d v="2026-01-14T00:00:00"/>
    <x v="1"/>
    <s v="⚽⚽👟👟"/>
    <n v="2"/>
    <n v="2"/>
    <n v="9.8000000000000007"/>
    <x v="9"/>
    <d v="1899-12-30T20:00:00"/>
    <m/>
    <n v="4"/>
    <s v="馬哲"/>
    <n v="0"/>
    <n v="0"/>
    <n v="2"/>
    <n v="0"/>
    <x v="0"/>
  </r>
  <r>
    <d v="2026-01-11T00:00:00"/>
    <x v="0"/>
    <s v="⚽"/>
    <n v="1"/>
    <n v="0"/>
    <n v="7.6"/>
    <x v="1"/>
    <d v="1899-12-30T16:00:00"/>
    <m/>
    <n v="1"/>
    <s v="梁哥"/>
    <n v="0"/>
    <n v="1"/>
    <n v="0"/>
    <n v="0"/>
    <x v="0"/>
  </r>
  <r>
    <d v="2026-01-11T00:00:00"/>
    <x v="1"/>
    <s v="👟"/>
    <n v="0"/>
    <n v="1"/>
    <n v="7.6"/>
    <x v="1"/>
    <d v="1899-12-30T16:00:00"/>
    <m/>
    <n v="1"/>
    <s v="梁哥"/>
    <n v="0"/>
    <n v="0"/>
    <n v="0"/>
    <n v="0"/>
    <x v="0"/>
  </r>
  <r>
    <d v="2026-01-10T00:00:00"/>
    <x v="0"/>
    <s v=""/>
    <n v="0"/>
    <n v="0"/>
    <n v="7.4"/>
    <x v="3"/>
    <d v="1899-12-30T11:30:00"/>
    <m/>
    <n v="0"/>
    <s v="Barry"/>
    <n v="0"/>
    <n v="0"/>
    <n v="0"/>
    <n v="0"/>
    <x v="0"/>
  </r>
  <r>
    <d v="2026-01-10T00:00:00"/>
    <x v="1"/>
    <s v="⚽"/>
    <n v="1"/>
    <n v="0"/>
    <n v="7.3"/>
    <x v="3"/>
    <d v="1899-12-30T11:30:00"/>
    <m/>
    <n v="1"/>
    <s v="Barry"/>
    <n v="0"/>
    <n v="1"/>
    <n v="0"/>
    <n v="0"/>
    <x v="0"/>
  </r>
  <r>
    <d v="2026-01-04T00:00:00"/>
    <x v="0"/>
    <s v="⚽"/>
    <n v="1"/>
    <n v="0"/>
    <n v="7.7"/>
    <x v="1"/>
    <d v="1899-12-30T16:00:00"/>
    <m/>
    <n v="1"/>
    <s v="梁哥"/>
    <n v="0"/>
    <n v="1"/>
    <n v="0"/>
    <n v="0"/>
    <x v="0"/>
  </r>
  <r>
    <d v="2026-01-04T00:00:00"/>
    <x v="1"/>
    <s v="⚽👟"/>
    <n v="1"/>
    <n v="1"/>
    <n v="8.4"/>
    <x v="1"/>
    <d v="1899-12-30T16:00:00"/>
    <m/>
    <n v="2"/>
    <s v="梁哥"/>
    <n v="0"/>
    <n v="0"/>
    <n v="1"/>
    <n v="0"/>
    <x v="0"/>
  </r>
  <r>
    <d v="2026-01-01T00:00:00"/>
    <x v="0"/>
    <s v="⚽👟👟👟"/>
    <n v="1"/>
    <n v="3"/>
    <n v="9.9"/>
    <x v="1"/>
    <d v="1899-12-30T16:00:00"/>
    <m/>
    <n v="4"/>
    <s v="梁哥"/>
    <n v="1"/>
    <n v="0"/>
    <n v="0"/>
    <n v="0"/>
    <x v="0"/>
  </r>
  <r>
    <d v="2026-01-01T00:00:00"/>
    <x v="0"/>
    <s v=""/>
    <n v="0"/>
    <n v="0"/>
    <n v="7.4"/>
    <x v="4"/>
    <d v="1899-12-30T10:45:00"/>
    <m/>
    <n v="0"/>
    <s v="Barry"/>
    <n v="0"/>
    <n v="0"/>
    <n v="0"/>
    <n v="0"/>
    <x v="0"/>
  </r>
  <r>
    <d v="2026-01-01T00:00:00"/>
    <x v="1"/>
    <s v="⚽⚽⚽⚽👟"/>
    <n v="4"/>
    <n v="1"/>
    <n v="10"/>
    <x v="4"/>
    <d v="1899-12-30T10:45:00"/>
    <m/>
    <n v="5"/>
    <s v="Barry"/>
    <n v="1"/>
    <n v="3"/>
    <n v="0"/>
    <n v="0"/>
    <x v="0"/>
  </r>
  <r>
    <d v="2025-12-21T00:00:00"/>
    <x v="0"/>
    <s v="⚽⚽👟"/>
    <n v="2"/>
    <n v="1"/>
    <n v="9.4"/>
    <x v="5"/>
    <d v="1899-12-30T10:30:00"/>
    <m/>
    <n v="3"/>
    <s v="Barry"/>
    <n v="0"/>
    <n v="2"/>
    <n v="0"/>
    <n v="0"/>
    <x v="0"/>
  </r>
  <r>
    <d v="2025-12-21T00:00:00"/>
    <x v="1"/>
    <s v="⚽👟"/>
    <n v="1"/>
    <n v="1"/>
    <n v="8.4"/>
    <x v="5"/>
    <d v="1899-12-30T10:30:00"/>
    <m/>
    <n v="2"/>
    <s v="Barry"/>
    <n v="0"/>
    <n v="1"/>
    <n v="0"/>
    <n v="0"/>
    <x v="0"/>
  </r>
  <r>
    <d v="2025-12-17T00:00:00"/>
    <x v="0"/>
    <s v=""/>
    <n v="0"/>
    <n v="0"/>
    <n v="6.2"/>
    <x v="6"/>
    <d v="1899-12-30T20:00:00"/>
    <m/>
    <n v="0"/>
    <s v="子睿"/>
    <n v="0"/>
    <n v="0"/>
    <n v="0"/>
    <n v="0"/>
    <x v="0"/>
  </r>
  <r>
    <d v="2025-12-17T00:00:00"/>
    <x v="1"/>
    <s v="⚽"/>
    <n v="1"/>
    <n v="0"/>
    <n v="7.3"/>
    <x v="6"/>
    <d v="1899-12-30T20:00:00"/>
    <m/>
    <n v="1"/>
    <s v="子睿"/>
    <n v="0"/>
    <n v="1"/>
    <n v="0"/>
    <n v="0"/>
    <x v="0"/>
  </r>
  <r>
    <d v="2025-12-07T00:00:00"/>
    <x v="0"/>
    <s v="⚽⚽⚽👟"/>
    <n v="3"/>
    <n v="1"/>
    <n v="9.9"/>
    <x v="1"/>
    <d v="1899-12-30T16:00:00"/>
    <m/>
    <n v="4"/>
    <s v="梁哥"/>
    <n v="1"/>
    <n v="2"/>
    <n v="0"/>
    <n v="0"/>
    <x v="0"/>
  </r>
  <r>
    <d v="2025-12-07T00:00:00"/>
    <x v="1"/>
    <s v="⚽⚽⚽⚽⚽⚽👟👟👟👟"/>
    <n v="6"/>
    <n v="4"/>
    <n v="10"/>
    <x v="1"/>
    <d v="1899-12-30T16:00:00"/>
    <m/>
    <n v="10"/>
    <s v="梁哥"/>
    <n v="1"/>
    <n v="5"/>
    <n v="0"/>
    <n v="0"/>
    <x v="0"/>
  </r>
  <r>
    <d v="2025-11-30T00:00:00"/>
    <x v="0"/>
    <s v="⚽⚽👟👟👟👟"/>
    <n v="2"/>
    <n v="4"/>
    <n v="9.9"/>
    <x v="1"/>
    <d v="1899-12-30T16:00:00"/>
    <m/>
    <n v="6"/>
    <s v="梁哥"/>
    <n v="0"/>
    <n v="2"/>
    <n v="0"/>
    <n v="0"/>
    <x v="0"/>
  </r>
  <r>
    <d v="2025-11-30T00:00:00"/>
    <x v="1"/>
    <s v="⚽⚽⚽⚽⚽"/>
    <n v="5"/>
    <n v="0"/>
    <n v="10"/>
    <x v="1"/>
    <d v="1899-12-30T16:00:00"/>
    <m/>
    <n v="5"/>
    <s v="梁哥"/>
    <n v="3"/>
    <n v="1"/>
    <n v="1"/>
    <n v="0"/>
    <x v="0"/>
  </r>
  <r>
    <d v="2025-11-16T00:00:00"/>
    <x v="0"/>
    <s v="⚽⚽👟"/>
    <n v="2"/>
    <n v="1"/>
    <n v="9.6"/>
    <x v="13"/>
    <d v="1899-12-30T20:00:00"/>
    <m/>
    <n v="3"/>
    <s v="子睿"/>
    <n v="0"/>
    <n v="2"/>
    <n v="0"/>
    <n v="0"/>
    <x v="0"/>
  </r>
  <r>
    <d v="2025-11-16T00:00:00"/>
    <x v="1"/>
    <s v="⚽⚽👟👟"/>
    <n v="2"/>
    <n v="2"/>
    <n v="10"/>
    <x v="13"/>
    <d v="1899-12-30T20:00:00"/>
    <m/>
    <n v="4"/>
    <s v="子睿"/>
    <n v="1"/>
    <n v="1"/>
    <n v="0"/>
    <n v="0"/>
    <x v="0"/>
  </r>
  <r>
    <d v="2025-11-14T00:00:00"/>
    <x v="0"/>
    <s v="⚽"/>
    <n v="1"/>
    <n v="0"/>
    <n v="8"/>
    <x v="14"/>
    <d v="1899-12-30T11:30:00"/>
    <m/>
    <n v="1"/>
    <s v="Barry"/>
    <n v="0"/>
    <n v="1"/>
    <n v="0"/>
    <n v="0"/>
    <x v="0"/>
  </r>
  <r>
    <d v="2025-11-14T00:00:00"/>
    <x v="1"/>
    <s v="⚽👟"/>
    <n v="1"/>
    <n v="1"/>
    <n v="8.5"/>
    <x v="14"/>
    <d v="1899-12-30T11:30:00"/>
    <m/>
    <n v="2"/>
    <s v="Barry"/>
    <n v="0"/>
    <n v="1"/>
    <n v="0"/>
    <n v="0"/>
    <x v="0"/>
  </r>
  <r>
    <d v="2025-11-09T00:00:00"/>
    <x v="0"/>
    <s v="⚽⚽⚽⚽👟👟👟"/>
    <n v="4"/>
    <n v="3"/>
    <n v="9.9"/>
    <x v="1"/>
    <d v="1899-12-30T16:30:00"/>
    <m/>
    <n v="7"/>
    <s v="梁哥"/>
    <n v="0"/>
    <n v="4"/>
    <n v="0"/>
    <n v="0"/>
    <x v="0"/>
  </r>
  <r>
    <d v="2025-11-09T00:00:00"/>
    <x v="1"/>
    <s v="⚽⚽⚽⚽👟👟👟👟"/>
    <n v="4"/>
    <n v="4"/>
    <n v="10"/>
    <x v="1"/>
    <d v="1899-12-30T16:30:00"/>
    <m/>
    <n v="8"/>
    <s v="梁哥"/>
    <n v="2"/>
    <n v="2"/>
    <n v="0"/>
    <n v="0"/>
    <x v="0"/>
  </r>
  <r>
    <d v="2025-10-29T00:00:00"/>
    <x v="0"/>
    <s v=""/>
    <n v="0"/>
    <n v="0"/>
    <n v="6.2"/>
    <x v="15"/>
    <d v="1899-12-30T21:30:00"/>
    <m/>
    <n v="0"/>
    <s v="Thomas"/>
    <n v="0"/>
    <n v="0"/>
    <n v="0"/>
    <n v="0"/>
    <x v="0"/>
  </r>
  <r>
    <d v="2025-10-29T00:00:00"/>
    <x v="0"/>
    <s v="⚽⚽👟"/>
    <n v="2"/>
    <n v="1"/>
    <n v="9.4"/>
    <x v="3"/>
    <d v="1899-12-30T09:30:00"/>
    <m/>
    <n v="3"/>
    <s v="Barry"/>
    <n v="0"/>
    <n v="2"/>
    <n v="0"/>
    <n v="0"/>
    <x v="0"/>
  </r>
  <r>
    <d v="2025-10-29T00:00:00"/>
    <x v="1"/>
    <s v="⚽⚽⚽👟"/>
    <n v="3"/>
    <n v="1"/>
    <n v="9.9"/>
    <x v="3"/>
    <d v="1899-12-30T09:30:00"/>
    <m/>
    <n v="4"/>
    <s v="Barry"/>
    <n v="1"/>
    <n v="2"/>
    <n v="0"/>
    <n v="0"/>
    <x v="0"/>
  </r>
  <r>
    <d v="2025-10-26T00:00:00"/>
    <x v="0"/>
    <s v=""/>
    <n v="0"/>
    <n v="0"/>
    <n v="7"/>
    <x v="1"/>
    <d v="1899-12-30T16:00:00"/>
    <m/>
    <n v="0"/>
    <s v="梁哥"/>
    <n v="0"/>
    <n v="0"/>
    <n v="0"/>
    <n v="0"/>
    <x v="0"/>
  </r>
  <r>
    <d v="2025-10-26T00:00:00"/>
    <x v="1"/>
    <s v="⚽⚽⚽👟👟"/>
    <n v="3"/>
    <n v="2"/>
    <n v="9.8000000000000007"/>
    <x v="1"/>
    <d v="1899-12-30T16:00:00"/>
    <m/>
    <n v="5"/>
    <s v="梁哥"/>
    <n v="2"/>
    <n v="1"/>
    <n v="0"/>
    <n v="0"/>
    <x v="0"/>
  </r>
  <r>
    <d v="2025-10-14T00:00:00"/>
    <x v="0"/>
    <s v="👟👟"/>
    <n v="0"/>
    <n v="2"/>
    <n v="8.5"/>
    <x v="3"/>
    <d v="1899-12-30T20:00:00"/>
    <m/>
    <n v="2"/>
    <s v="馬哲"/>
    <n v="0"/>
    <n v="0"/>
    <n v="0"/>
    <n v="0"/>
    <x v="0"/>
  </r>
  <r>
    <d v="2025-10-14T00:00:00"/>
    <x v="1"/>
    <s v="⚽⚽⚽⚽⚽"/>
    <n v="5"/>
    <n v="0"/>
    <n v="10"/>
    <x v="3"/>
    <d v="1899-12-30T20:00:00"/>
    <m/>
    <n v="5"/>
    <s v="馬哲"/>
    <n v="3"/>
    <n v="2"/>
    <n v="0"/>
    <n v="0"/>
    <x v="0"/>
  </r>
  <r>
    <d v="2025-10-12T00:00:00"/>
    <x v="0"/>
    <s v="⚽⚽⚽⚽"/>
    <n v="4"/>
    <n v="0"/>
    <n v="9.6999999999999993"/>
    <x v="1"/>
    <d v="1899-12-30T16:00:00"/>
    <m/>
    <n v="4"/>
    <s v="梁哥"/>
    <n v="0"/>
    <n v="2"/>
    <n v="2"/>
    <n v="0"/>
    <x v="0"/>
  </r>
  <r>
    <d v="2025-10-09T00:00:00"/>
    <x v="0"/>
    <s v=""/>
    <n v="0"/>
    <n v="0"/>
    <n v="6.5"/>
    <x v="16"/>
    <d v="1899-12-30T20:00:00"/>
    <m/>
    <n v="0"/>
    <s v="馬哲"/>
    <n v="0"/>
    <n v="0"/>
    <n v="0"/>
    <n v="0"/>
    <x v="0"/>
  </r>
  <r>
    <d v="2025-10-09T00:00:00"/>
    <x v="1"/>
    <s v="👟"/>
    <n v="0"/>
    <n v="1"/>
    <n v="7.6"/>
    <x v="16"/>
    <d v="1899-12-30T20:00:00"/>
    <m/>
    <n v="1"/>
    <s v="馬哲"/>
    <n v="0"/>
    <n v="0"/>
    <n v="0"/>
    <n v="0"/>
    <x v="0"/>
  </r>
  <r>
    <d v="2025-10-07T00:00:00"/>
    <x v="0"/>
    <s v="⚽"/>
    <n v="1"/>
    <n v="0"/>
    <n v="8.3000000000000007"/>
    <x v="17"/>
    <d v="1899-12-30T11:30:00"/>
    <m/>
    <n v="1"/>
    <s v="Barry"/>
    <n v="0"/>
    <n v="1"/>
    <n v="0"/>
    <n v="0"/>
    <x v="0"/>
  </r>
  <r>
    <d v="2025-10-07T00:00:00"/>
    <x v="1"/>
    <s v="⚽⚽👟"/>
    <n v="2"/>
    <n v="1"/>
    <n v="9"/>
    <x v="17"/>
    <d v="1899-12-30T11:30:00"/>
    <m/>
    <n v="3"/>
    <s v="Barry"/>
    <n v="0"/>
    <n v="2"/>
    <n v="0"/>
    <n v="0"/>
    <x v="0"/>
  </r>
  <r>
    <d v="2025-10-05T00:00:00"/>
    <x v="0"/>
    <s v="⚽⚽"/>
    <n v="2"/>
    <n v="0"/>
    <n v="10"/>
    <x v="2"/>
    <d v="1899-12-30T11:30:00"/>
    <m/>
    <n v="2"/>
    <s v="Barry"/>
    <n v="0"/>
    <n v="2"/>
    <n v="0"/>
    <n v="0"/>
    <x v="0"/>
  </r>
  <r>
    <d v="2025-10-05T00:00:00"/>
    <x v="1"/>
    <s v="⚽⚽⚽👟👟"/>
    <n v="3"/>
    <n v="2"/>
    <n v="10"/>
    <x v="2"/>
    <d v="1899-12-30T11:30:00"/>
    <m/>
    <n v="5"/>
    <s v="Barry"/>
    <n v="1"/>
    <n v="2"/>
    <n v="0"/>
    <n v="0"/>
    <x v="0"/>
  </r>
  <r>
    <d v="2025-10-01T00:00:00"/>
    <x v="0"/>
    <s v="⚽⚽"/>
    <n v="2"/>
    <n v="0"/>
    <n v="9.1999999999999993"/>
    <x v="2"/>
    <d v="1899-12-30T11:30:00"/>
    <m/>
    <n v="2"/>
    <s v="Barry"/>
    <n v="0"/>
    <n v="2"/>
    <n v="0"/>
    <n v="0"/>
    <x v="0"/>
  </r>
  <r>
    <d v="2025-10-01T00:00:00"/>
    <x v="1"/>
    <s v="⚽👟👟"/>
    <n v="1"/>
    <n v="2"/>
    <n v="9"/>
    <x v="2"/>
    <d v="1899-12-30T11:30:00"/>
    <m/>
    <n v="3"/>
    <s v="Barry"/>
    <n v="0"/>
    <n v="1"/>
    <n v="0"/>
    <n v="0"/>
    <x v="0"/>
  </r>
  <r>
    <d v="2025-09-22T00:00:00"/>
    <x v="0"/>
    <s v="⚽⚽👟"/>
    <n v="2"/>
    <n v="1"/>
    <n v="9.8000000000000007"/>
    <x v="3"/>
    <d v="1899-12-30T10:30:00"/>
    <m/>
    <n v="3"/>
    <s v="Barry"/>
    <n v="0"/>
    <n v="1"/>
    <n v="1"/>
    <n v="0"/>
    <x v="0"/>
  </r>
  <r>
    <d v="2025-09-22T00:00:00"/>
    <x v="1"/>
    <s v="⚽⚽⚽👟"/>
    <n v="3"/>
    <n v="1"/>
    <n v="10"/>
    <x v="3"/>
    <d v="1899-12-30T10:30:00"/>
    <m/>
    <n v="4"/>
    <s v="Barry"/>
    <n v="1"/>
    <n v="2"/>
    <n v="0"/>
    <n v="0"/>
    <x v="0"/>
  </r>
  <r>
    <d v="2025-09-21T00:00:00"/>
    <x v="0"/>
    <s v=""/>
    <n v="0"/>
    <n v="0"/>
    <n v="8.8000000000000007"/>
    <x v="2"/>
    <d v="1899-12-30T11:30:00"/>
    <m/>
    <n v="0"/>
    <s v="Barry"/>
    <n v="0"/>
    <n v="0"/>
    <n v="0"/>
    <n v="0"/>
    <x v="0"/>
  </r>
  <r>
    <d v="2025-09-21T00:00:00"/>
    <x v="1"/>
    <s v="⚽👟👟👟"/>
    <n v="1"/>
    <n v="3"/>
    <n v="10"/>
    <x v="2"/>
    <d v="1899-12-30T11:30:00"/>
    <m/>
    <n v="4"/>
    <s v="Barry"/>
    <n v="0"/>
    <n v="1"/>
    <n v="0"/>
    <n v="0"/>
    <x v="0"/>
  </r>
  <r>
    <d v="2025-09-14T00:00:00"/>
    <x v="0"/>
    <s v="👟"/>
    <n v="0"/>
    <n v="1"/>
    <n v="7"/>
    <x v="1"/>
    <d v="1899-12-30T16:00:00"/>
    <m/>
    <n v="1"/>
    <s v="梁哥"/>
    <n v="0"/>
    <n v="0"/>
    <n v="0"/>
    <n v="0"/>
    <x v="0"/>
  </r>
  <r>
    <d v="2025-09-14T00:00:00"/>
    <x v="1"/>
    <s v="⚽"/>
    <n v="1"/>
    <n v="0"/>
    <n v="7.2"/>
    <x v="1"/>
    <d v="1899-12-30T16:00:00"/>
    <m/>
    <n v="1"/>
    <s v="梁哥"/>
    <n v="1"/>
    <n v="0"/>
    <n v="0"/>
    <n v="0"/>
    <x v="0"/>
  </r>
  <r>
    <d v="2025-09-02T00:00:00"/>
    <x v="0"/>
    <s v="⚽⚽⚽⚽"/>
    <n v="4"/>
    <n v="0"/>
    <n v="9.9"/>
    <x v="9"/>
    <d v="1899-12-30T20:00:00"/>
    <m/>
    <n v="4"/>
    <s v="馬哲"/>
    <n v="1"/>
    <n v="3"/>
    <n v="0"/>
    <n v="0"/>
    <x v="0"/>
  </r>
  <r>
    <d v="2025-09-02T00:00:00"/>
    <x v="1"/>
    <s v="⚽⚽⚽👟"/>
    <n v="3"/>
    <n v="1"/>
    <n v="9.8000000000000007"/>
    <x v="9"/>
    <d v="1899-12-30T20:00:00"/>
    <m/>
    <n v="4"/>
    <s v="馬哲"/>
    <n v="0"/>
    <n v="3"/>
    <n v="0"/>
    <n v="0"/>
    <x v="0"/>
  </r>
  <r>
    <d v="2025-08-31T00:00:00"/>
    <x v="0"/>
    <s v="⚽👟"/>
    <n v="1"/>
    <n v="1"/>
    <n v="8.4"/>
    <x v="5"/>
    <d v="1899-12-30T10:30:00"/>
    <m/>
    <n v="2"/>
    <s v="Barry"/>
    <n v="0"/>
    <n v="1"/>
    <n v="0"/>
    <n v="0"/>
    <x v="0"/>
  </r>
  <r>
    <d v="2025-08-31T00:00:00"/>
    <x v="1"/>
    <s v="⚽👟👟👟"/>
    <n v="1"/>
    <n v="3"/>
    <n v="9.8000000000000007"/>
    <x v="5"/>
    <d v="1899-12-30T10:30:00"/>
    <m/>
    <n v="4"/>
    <s v="Barry"/>
    <n v="1"/>
    <n v="0"/>
    <n v="0"/>
    <n v="0"/>
    <x v="0"/>
  </r>
  <r>
    <d v="2025-08-24T00:00:00"/>
    <x v="0"/>
    <s v="⚽"/>
    <n v="1"/>
    <n v="0"/>
    <n v="7.8"/>
    <x v="0"/>
    <d v="1899-12-30T11:30:00"/>
    <m/>
    <n v="1"/>
    <s v="Barry"/>
    <n v="0"/>
    <n v="1"/>
    <n v="0"/>
    <n v="0"/>
    <x v="0"/>
  </r>
  <r>
    <d v="2025-08-24T00:00:00"/>
    <x v="1"/>
    <s v="⚽⚽👟"/>
    <n v="2"/>
    <n v="1"/>
    <n v="9.1999999999999993"/>
    <x v="0"/>
    <d v="1899-12-30T11:30:00"/>
    <m/>
    <n v="3"/>
    <s v="Barry"/>
    <n v="0"/>
    <n v="1"/>
    <n v="1"/>
    <n v="0"/>
    <x v="0"/>
  </r>
  <r>
    <d v="2025-08-12T00:00:00"/>
    <x v="0"/>
    <s v="⚽⚽⚽👟👟"/>
    <n v="3"/>
    <n v="2"/>
    <n v="9.6999999999999993"/>
    <x v="9"/>
    <d v="1899-12-30T20:00:00"/>
    <n v="1"/>
    <n v="5"/>
    <s v="馬哲"/>
    <n v="0"/>
    <n v="2"/>
    <n v="1"/>
    <n v="0"/>
    <x v="0"/>
  </r>
  <r>
    <d v="2025-08-12T00:00:00"/>
    <x v="1"/>
    <s v="⚽⚽⚽👟"/>
    <n v="3"/>
    <n v="1"/>
    <n v="9.6999999999999993"/>
    <x v="9"/>
    <d v="1899-12-30T20:00:00"/>
    <m/>
    <n v="4"/>
    <s v="馬哲"/>
    <n v="1"/>
    <n v="2"/>
    <n v="0"/>
    <n v="0"/>
    <x v="0"/>
  </r>
  <r>
    <d v="2025-08-10T00:00:00"/>
    <x v="0"/>
    <s v="👟👟"/>
    <n v="0"/>
    <n v="2"/>
    <n v="8.8000000000000007"/>
    <x v="5"/>
    <d v="1899-12-30T09:00:00"/>
    <m/>
    <n v="2"/>
    <s v="Barry"/>
    <n v="0"/>
    <n v="0"/>
    <n v="0"/>
    <n v="0"/>
    <x v="0"/>
  </r>
  <r>
    <d v="2025-08-10T00:00:00"/>
    <x v="1"/>
    <s v="⚽⚽👟👟"/>
    <n v="2"/>
    <n v="2"/>
    <n v="10"/>
    <x v="5"/>
    <d v="1899-12-30T09:00:00"/>
    <m/>
    <n v="4"/>
    <s v="Barry"/>
    <n v="1"/>
    <n v="1"/>
    <n v="0"/>
    <n v="0"/>
    <x v="0"/>
  </r>
  <r>
    <d v="2025-08-05T00:00:00"/>
    <x v="0"/>
    <s v="👟"/>
    <n v="0"/>
    <n v="1"/>
    <n v="7.2"/>
    <x v="3"/>
    <d v="1899-12-30T20:00:00"/>
    <m/>
    <n v="1"/>
    <s v="馬哲"/>
    <n v="0"/>
    <n v="0"/>
    <n v="0"/>
    <n v="0"/>
    <x v="0"/>
  </r>
  <r>
    <d v="2025-08-05T00:00:00"/>
    <x v="1"/>
    <s v="⚽⚽"/>
    <n v="2"/>
    <n v="0"/>
    <n v="8.4"/>
    <x v="3"/>
    <d v="1899-12-30T20:00:00"/>
    <m/>
    <n v="2"/>
    <s v="馬哲"/>
    <n v="0"/>
    <n v="1"/>
    <n v="1"/>
    <n v="0"/>
    <x v="0"/>
  </r>
  <r>
    <d v="2025-08-03T00:00:00"/>
    <x v="0"/>
    <s v="⚽⚽⚽⚽⚽👟👟👟👟"/>
    <n v="5"/>
    <n v="4"/>
    <n v="10"/>
    <x v="1"/>
    <d v="1899-12-30T16:00:00"/>
    <m/>
    <n v="9"/>
    <s v="梁哥"/>
    <n v="1"/>
    <n v="4"/>
    <n v="0"/>
    <n v="0"/>
    <x v="0"/>
  </r>
  <r>
    <d v="2025-08-03T00:00:00"/>
    <x v="1"/>
    <s v="⚽⚽⚽⚽⚽👟"/>
    <n v="5"/>
    <n v="1"/>
    <n v="10"/>
    <x v="1"/>
    <d v="1899-12-30T16:00:00"/>
    <m/>
    <n v="6"/>
    <s v="梁哥"/>
    <n v="0"/>
    <n v="5"/>
    <n v="0"/>
    <n v="0"/>
    <x v="0"/>
  </r>
  <r>
    <m/>
    <x v="2"/>
    <m/>
    <m/>
    <m/>
    <m/>
    <x v="18"/>
    <m/>
    <m/>
    <m/>
    <m/>
    <m/>
    <m/>
    <m/>
    <m/>
    <x v="1"/>
  </r>
  <r>
    <m/>
    <x v="2"/>
    <m/>
    <m/>
    <m/>
    <m/>
    <x v="18"/>
    <m/>
    <m/>
    <m/>
    <m/>
    <m/>
    <m/>
    <m/>
    <m/>
    <x v="1"/>
  </r>
  <r>
    <m/>
    <x v="2"/>
    <m/>
    <m/>
    <m/>
    <m/>
    <x v="18"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F3FED-5B4D-4119-9045-6123C0CD536B}" name="数据透视表2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J3:N5" firstHeaderRow="1" firstDataRow="2" firstDataCol="1"/>
  <pivotFields count="1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加總 - Error?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661F7-8D4A-4D72-A23F-7CEEA1E6D983}" name="PivotTable3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P10:T12" firstHeaderRow="1" firstDataRow="2" firstDataCol="1"/>
  <pivotFields count="1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ssis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AD0D1-B7B1-4692-B06C-6B6F0D622792}" name="樞紐分析表2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J25:N27" firstHeaderRow="1" firstDataRow="2" firstDataCol="1"/>
  <pivotFields count="1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加總 - Hea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D0E39-103A-45C8-BCD1-0576F3503104}" name="PivotTable2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D2:G4" firstHeaderRow="1" firstDataRow="2" firstDataCol="1"/>
  <pivotFields count="16"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Average of Rating" fld="5" subtotal="average" baseField="0" baseItem="0" numFmtId="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F1A6A-CC31-4882-A425-1EF409A7AA9F}" name="樞紐分析表3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D16:G35" firstHeaderRow="1" firstDataRow="2" firstDataCol="1"/>
  <pivotFields count="1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20">
        <item x="6"/>
        <item x="17"/>
        <item x="16"/>
        <item x="12"/>
        <item x="4"/>
        <item x="15"/>
        <item x="13"/>
        <item x="0"/>
        <item x="10"/>
        <item x="9"/>
        <item x="11"/>
        <item x="14"/>
        <item h="1" x="18"/>
        <item x="1"/>
        <item x="3"/>
        <item x="5"/>
        <item x="2"/>
        <item x="8"/>
        <item h="1"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平均值 - Goal Contribution" fld="9" subtotal="average" baseField="0" baseItem="0" numFmtId="2"/>
  </dataFields>
  <formats count="2">
    <format dxfId="0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EE64A-542A-4C11-8B61-8718C072E68E}" name="数据透视表4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J16:N18" firstHeaderRow="1" firstDataRow="2" firstDataCol="1"/>
  <pivotFields count="1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加總 - Left Foo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1CC89-8F9D-4EB9-B268-05DDBFD935C1}" name="樞紐分析表1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P3:T5" firstHeaderRow="1" firstDataRow="2" firstDataCol="1"/>
  <pivotFields count="1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Goal Contribution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1A13E-9462-42CB-A2A2-01FC756C90DB}" name="PivotTable1" cacheId="116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P16:T18" firstHeaderRow="1" firstDataRow="2" firstDataCol="1"/>
  <pivotFields count="16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Right Foo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7108608D-A5A5-4BD4-AFCC-E682F774B53F}" sourceName="Season">
  <pivotTables>
    <pivotTable tabId="2" name="数据透视表2"/>
    <pivotTable tabId="2" name="樞紐分析表1"/>
    <pivotTable tabId="2" name="PivotTable1"/>
    <pivotTable tabId="2" name="数据透视表4"/>
    <pivotTable tabId="2" name="樞紐分析表2"/>
    <pivotTable tabId="2" name="PivotTable2"/>
    <pivotTable tabId="2" name="樞紐分析表3"/>
    <pivotTable tabId="2" name="PivotTable3"/>
  </pivotTables>
  <data>
    <tabular pivotCacheId="1470849124">
      <items count="2">
        <i x="0" s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03DC7403-5B87-4625-91D1-5EA3F771E66C}" cache="Slicer_Season" caption="Seas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B81A-577F-490B-AD56-8697B9ED3C8E}">
  <dimension ref="D1:W35"/>
  <sheetViews>
    <sheetView tabSelected="1" topLeftCell="E1" zoomScale="68" workbookViewId="0">
      <selection activeCell="R11" sqref="R11"/>
    </sheetView>
  </sheetViews>
  <sheetFormatPr defaultRowHeight="13.9"/>
  <cols>
    <col min="1" max="1" width="24.625" bestFit="1" customWidth="1"/>
    <col min="2" max="3" width="10.625" bestFit="1" customWidth="1"/>
    <col min="4" max="4" width="6.625" bestFit="1" customWidth="1"/>
    <col min="5" max="5" width="16.875" customWidth="1"/>
    <col min="7" max="7" width="13" customWidth="1"/>
    <col min="10" max="10" width="12.5" bestFit="1" customWidth="1"/>
    <col min="11" max="11" width="10.5" bestFit="1" customWidth="1"/>
    <col min="12" max="12" width="5.625" bestFit="1" customWidth="1"/>
    <col min="13" max="13" width="6.625" bestFit="1" customWidth="1"/>
    <col min="14" max="14" width="5.25" bestFit="1" customWidth="1"/>
    <col min="16" max="16" width="26.75" bestFit="1" customWidth="1"/>
    <col min="17" max="17" width="12.625" bestFit="1" customWidth="1"/>
    <col min="18" max="18" width="5.75" bestFit="1" customWidth="1"/>
    <col min="19" max="19" width="6.625" bestFit="1" customWidth="1"/>
    <col min="20" max="20" width="10.25" bestFit="1" customWidth="1"/>
  </cols>
  <sheetData>
    <row r="1" spans="4:23" ht="20.25">
      <c r="D1" s="8" t="s">
        <v>0</v>
      </c>
      <c r="J1" s="8" t="s">
        <v>1</v>
      </c>
      <c r="P1" s="8" t="s">
        <v>2</v>
      </c>
    </row>
    <row r="2" spans="4:23" ht="14.25">
      <c r="E2" s="4" t="s">
        <v>3</v>
      </c>
    </row>
    <row r="3" spans="4:23" ht="14.25">
      <c r="E3" t="s">
        <v>4</v>
      </c>
      <c r="F3" t="s">
        <v>5</v>
      </c>
      <c r="G3" t="s">
        <v>6</v>
      </c>
      <c r="K3" s="4" t="s">
        <v>3</v>
      </c>
      <c r="Q3" s="4" t="s">
        <v>3</v>
      </c>
    </row>
    <row r="4" spans="4:23" ht="14.25">
      <c r="D4" t="s">
        <v>7</v>
      </c>
      <c r="E4" s="12">
        <v>9.2095238095238106</v>
      </c>
      <c r="F4" s="12">
        <v>8.8323943661971782</v>
      </c>
      <c r="G4" s="12">
        <v>9.0097014925373156</v>
      </c>
      <c r="K4" t="s">
        <v>4</v>
      </c>
      <c r="L4" t="s">
        <v>5</v>
      </c>
      <c r="M4" t="s">
        <v>8</v>
      </c>
      <c r="N4" t="s">
        <v>6</v>
      </c>
      <c r="Q4" t="s">
        <v>4</v>
      </c>
      <c r="R4" t="s">
        <v>5</v>
      </c>
      <c r="S4" t="s">
        <v>8</v>
      </c>
      <c r="T4" t="s">
        <v>6</v>
      </c>
    </row>
    <row r="5" spans="4:23" ht="14.25">
      <c r="J5" t="s">
        <v>9</v>
      </c>
      <c r="K5" s="11"/>
      <c r="L5" s="11">
        <v>3</v>
      </c>
      <c r="M5" s="11"/>
      <c r="N5" s="11">
        <v>3</v>
      </c>
      <c r="P5" t="s">
        <v>10</v>
      </c>
      <c r="Q5" s="11">
        <v>222</v>
      </c>
      <c r="R5" s="11">
        <v>189</v>
      </c>
      <c r="S5" s="11"/>
      <c r="T5" s="11">
        <v>411</v>
      </c>
    </row>
    <row r="6" spans="4:23" ht="14.25"/>
    <row r="7" spans="4:23" ht="14.25"/>
    <row r="8" spans="4:23" ht="20.25">
      <c r="P8" s="8" t="s">
        <v>11</v>
      </c>
    </row>
    <row r="9" spans="4:23" ht="14.25"/>
    <row r="10" spans="4:23" ht="14.25">
      <c r="Q10" s="4" t="s">
        <v>3</v>
      </c>
    </row>
    <row r="11" spans="4:23" ht="14.25">
      <c r="Q11" t="s">
        <v>4</v>
      </c>
      <c r="R11" t="s">
        <v>5</v>
      </c>
      <c r="S11" t="s">
        <v>8</v>
      </c>
      <c r="T11" t="s">
        <v>6</v>
      </c>
    </row>
    <row r="12" spans="4:23" ht="14.25">
      <c r="P12" t="s">
        <v>12</v>
      </c>
      <c r="Q12" s="11">
        <v>77</v>
      </c>
      <c r="R12" s="11">
        <v>83</v>
      </c>
      <c r="S12" s="11"/>
      <c r="T12" s="11">
        <v>160</v>
      </c>
    </row>
    <row r="13" spans="4:23" ht="14.25"/>
    <row r="14" spans="4:23" ht="14.25"/>
    <row r="15" spans="4:23" ht="20.25">
      <c r="D15" s="8" t="s">
        <v>13</v>
      </c>
      <c r="J15" s="8" t="s">
        <v>14</v>
      </c>
      <c r="P15" s="8" t="s">
        <v>15</v>
      </c>
      <c r="V15" t="s">
        <v>16</v>
      </c>
      <c r="W15" t="s">
        <v>17</v>
      </c>
    </row>
    <row r="16" spans="4:23" ht="14.25">
      <c r="D16" s="4" t="s">
        <v>18</v>
      </c>
      <c r="E16" s="4" t="s">
        <v>3</v>
      </c>
      <c r="K16" s="4" t="s">
        <v>3</v>
      </c>
      <c r="Q16" s="4" t="s">
        <v>3</v>
      </c>
      <c r="U16" t="s">
        <v>19</v>
      </c>
      <c r="V16">
        <f>IFERROR(GETPIVOTDATA("Left Foot",$J$16,"Contributor",V$15),0)</f>
        <v>19</v>
      </c>
      <c r="W16">
        <f>IFERROR(GETPIVOTDATA("Left Foot",$J$16,"Contributor",W$15),0)</f>
        <v>36</v>
      </c>
    </row>
    <row r="17" spans="4:23" ht="14.25">
      <c r="D17" s="4" t="s">
        <v>20</v>
      </c>
      <c r="E17" t="s">
        <v>4</v>
      </c>
      <c r="F17" t="s">
        <v>5</v>
      </c>
      <c r="G17" t="s">
        <v>6</v>
      </c>
      <c r="K17" t="s">
        <v>4</v>
      </c>
      <c r="L17" t="s">
        <v>5</v>
      </c>
      <c r="M17" t="s">
        <v>8</v>
      </c>
      <c r="N17" t="s">
        <v>6</v>
      </c>
      <c r="Q17" t="s">
        <v>4</v>
      </c>
      <c r="R17" t="s">
        <v>5</v>
      </c>
      <c r="S17" t="s">
        <v>8</v>
      </c>
      <c r="T17" t="s">
        <v>6</v>
      </c>
      <c r="U17" t="s">
        <v>21</v>
      </c>
      <c r="V17">
        <f>IFERROR(GETPIVOTDATA("Right Foot",$P$16,"Contributor",V$15),0)</f>
        <v>80</v>
      </c>
      <c r="W17">
        <f>IFERROR(GETPIVOTDATA("Right Foot",$P$16,"Contributor",W$15),0)</f>
        <v>92</v>
      </c>
    </row>
    <row r="18" spans="4:23" ht="14.25">
      <c r="D18" s="5" t="s">
        <v>22</v>
      </c>
      <c r="E18" s="12">
        <v>0.5</v>
      </c>
      <c r="F18" s="12">
        <v>0</v>
      </c>
      <c r="G18" s="12">
        <v>0.25</v>
      </c>
      <c r="J18" t="s">
        <v>23</v>
      </c>
      <c r="K18" s="11">
        <v>36</v>
      </c>
      <c r="L18" s="11">
        <v>19</v>
      </c>
      <c r="M18" s="11"/>
      <c r="N18" s="11">
        <v>55</v>
      </c>
      <c r="P18" t="s">
        <v>24</v>
      </c>
      <c r="Q18" s="11">
        <v>92</v>
      </c>
      <c r="R18" s="11">
        <v>80</v>
      </c>
      <c r="S18" s="11"/>
      <c r="T18" s="11">
        <v>172</v>
      </c>
      <c r="U18" t="s">
        <v>25</v>
      </c>
      <c r="V18">
        <f>IFERROR(GETPIVOTDATA("Head",$J$25,"Contributor",V$15),0)</f>
        <v>7</v>
      </c>
      <c r="W18">
        <f>IFERROR(GETPIVOTDATA("Head",$J$25,"Contributor",W$15),0)</f>
        <v>17</v>
      </c>
    </row>
    <row r="19" spans="4:23" ht="14.25">
      <c r="D19" s="5" t="s">
        <v>26</v>
      </c>
      <c r="E19" s="12">
        <v>3</v>
      </c>
      <c r="F19" s="12">
        <v>1</v>
      </c>
      <c r="G19" s="12">
        <v>2</v>
      </c>
    </row>
    <row r="20" spans="4:23" ht="14.25">
      <c r="D20" s="5" t="s">
        <v>27</v>
      </c>
      <c r="E20" s="12">
        <v>1</v>
      </c>
      <c r="F20" s="12">
        <v>0</v>
      </c>
      <c r="G20" s="12">
        <v>0.5</v>
      </c>
    </row>
    <row r="21" spans="4:23" ht="14.25">
      <c r="D21" s="5" t="s">
        <v>28</v>
      </c>
      <c r="E21" s="12">
        <v>0</v>
      </c>
      <c r="F21" s="12">
        <v>2</v>
      </c>
      <c r="G21" s="12">
        <v>1</v>
      </c>
    </row>
    <row r="22" spans="4:23" ht="14.25">
      <c r="D22" s="5" t="s">
        <v>29</v>
      </c>
      <c r="E22" s="12">
        <v>3.3333333333333335</v>
      </c>
      <c r="F22" s="12">
        <v>1.6666666666666667</v>
      </c>
      <c r="G22" s="12">
        <v>2.5</v>
      </c>
    </row>
    <row r="23" spans="4:23" ht="14.25">
      <c r="D23" s="5" t="s">
        <v>30</v>
      </c>
      <c r="E23" s="12"/>
      <c r="F23" s="12">
        <v>0</v>
      </c>
      <c r="G23" s="12">
        <v>0</v>
      </c>
    </row>
    <row r="24" spans="4:23" ht="20.25">
      <c r="D24" s="5" t="s">
        <v>31</v>
      </c>
      <c r="E24" s="12">
        <v>4</v>
      </c>
      <c r="F24" s="12">
        <v>3</v>
      </c>
      <c r="G24" s="12">
        <v>3.5</v>
      </c>
      <c r="J24" s="8" t="s">
        <v>32</v>
      </c>
    </row>
    <row r="25" spans="4:23" ht="14.25">
      <c r="D25" s="5" t="s">
        <v>33</v>
      </c>
      <c r="E25" s="12">
        <v>2.3333333333333335</v>
      </c>
      <c r="F25" s="12">
        <v>2</v>
      </c>
      <c r="G25" s="12">
        <v>2.1666666666666665</v>
      </c>
      <c r="K25" s="4" t="s">
        <v>3</v>
      </c>
    </row>
    <row r="26" spans="4:23" ht="14.25">
      <c r="D26" s="5" t="s">
        <v>34</v>
      </c>
      <c r="E26" s="12"/>
      <c r="F26" s="12">
        <v>2</v>
      </c>
      <c r="G26" s="12">
        <v>2</v>
      </c>
      <c r="K26" t="s">
        <v>4</v>
      </c>
      <c r="L26" t="s">
        <v>5</v>
      </c>
      <c r="M26" t="s">
        <v>8</v>
      </c>
      <c r="N26" t="s">
        <v>6</v>
      </c>
    </row>
    <row r="27" spans="4:23" ht="14.25">
      <c r="D27" s="5" t="s">
        <v>35</v>
      </c>
      <c r="E27" s="12">
        <v>4</v>
      </c>
      <c r="F27" s="12">
        <v>4.4000000000000004</v>
      </c>
      <c r="G27" s="12">
        <v>4.2</v>
      </c>
      <c r="J27" t="s">
        <v>36</v>
      </c>
      <c r="K27" s="11">
        <v>17</v>
      </c>
      <c r="L27" s="11">
        <v>7</v>
      </c>
      <c r="M27" s="11"/>
      <c r="N27" s="11">
        <v>24</v>
      </c>
    </row>
    <row r="28" spans="4:23" ht="14.25">
      <c r="D28" s="5" t="s">
        <v>37</v>
      </c>
      <c r="E28" s="12">
        <v>4</v>
      </c>
      <c r="F28" s="12">
        <v>3</v>
      </c>
      <c r="G28" s="12">
        <v>3.5</v>
      </c>
    </row>
    <row r="29" spans="4:23" ht="14.25">
      <c r="D29" s="5" t="s">
        <v>38</v>
      </c>
      <c r="E29" s="12">
        <v>2</v>
      </c>
      <c r="F29" s="12">
        <v>1</v>
      </c>
      <c r="G29" s="12">
        <v>1.5</v>
      </c>
    </row>
    <row r="30" spans="4:23" ht="14.25">
      <c r="D30" s="5" t="s">
        <v>39</v>
      </c>
      <c r="E30" s="12">
        <v>4.8</v>
      </c>
      <c r="F30" s="12">
        <v>3.7222222222222223</v>
      </c>
      <c r="G30" s="12">
        <v>4.2121212121212119</v>
      </c>
    </row>
    <row r="31" spans="4:23" ht="14.25">
      <c r="D31" s="5" t="s">
        <v>40</v>
      </c>
      <c r="E31" s="12">
        <v>3.9090909090909092</v>
      </c>
      <c r="F31" s="12">
        <v>2.3636363636363638</v>
      </c>
      <c r="G31" s="12">
        <v>3.1363636363636362</v>
      </c>
    </row>
    <row r="32" spans="4:23" ht="14.25">
      <c r="D32" s="5" t="s">
        <v>41</v>
      </c>
      <c r="E32" s="12">
        <v>3</v>
      </c>
      <c r="F32" s="12">
        <v>2</v>
      </c>
      <c r="G32" s="12">
        <v>2.3846153846153846</v>
      </c>
    </row>
    <row r="33" spans="4:7" ht="14.25">
      <c r="D33" s="5" t="s">
        <v>42</v>
      </c>
      <c r="E33" s="12">
        <v>3.2727272727272729</v>
      </c>
      <c r="F33" s="12">
        <v>2.5833333333333335</v>
      </c>
      <c r="G33" s="12">
        <v>2.9130434782608696</v>
      </c>
    </row>
    <row r="34" spans="4:7" ht="14.25">
      <c r="D34" s="5" t="s">
        <v>43</v>
      </c>
      <c r="E34" s="12">
        <v>2</v>
      </c>
      <c r="F34" s="12">
        <v>4</v>
      </c>
      <c r="G34" s="12">
        <v>3</v>
      </c>
    </row>
    <row r="35" spans="4:7" ht="14.25">
      <c r="D35" s="5" t="s">
        <v>6</v>
      </c>
      <c r="E35" s="12">
        <v>3.5483870967741935</v>
      </c>
      <c r="F35" s="12">
        <v>2.6619718309859155</v>
      </c>
      <c r="G35" s="12">
        <v>3.0751879699248121</v>
      </c>
    </row>
  </sheetData>
  <phoneticPr fontId="1" type="noConversion"/>
  <pageMargins left="0.7" right="0.7" top="0.75" bottom="0.75" header="0.3" footer="0.3"/>
  <pageSetup paperSize="9" orientation="portrait" r:id="rId9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AF62-2E94-4D0B-832F-5914B9688F1E}">
  <dimension ref="A1:P138"/>
  <sheetViews>
    <sheetView zoomScale="145" zoomScaleNormal="145" workbookViewId="0">
      <pane ySplit="2" topLeftCell="A3" activePane="bottomLeft" state="frozen"/>
      <selection pane="bottomLeft" activeCell="A3" sqref="A3"/>
    </sheetView>
  </sheetViews>
  <sheetFormatPr defaultRowHeight="13.9" outlineLevelCol="1"/>
  <cols>
    <col min="1" max="1" width="10.625" bestFit="1" customWidth="1"/>
    <col min="2" max="2" width="15.875" customWidth="1"/>
    <col min="3" max="3" width="24.375" customWidth="1"/>
    <col min="4" max="6" width="9.125" customWidth="1" outlineLevel="1"/>
    <col min="7" max="7" width="16.375" customWidth="1" outlineLevel="1"/>
    <col min="8" max="8" width="9.125" style="6" customWidth="1" outlineLevel="1"/>
    <col min="9" max="9" width="9.125" style="3" customWidth="1" outlineLevel="1"/>
    <col min="10" max="10" width="13.125" style="3" customWidth="1" outlineLevel="1"/>
    <col min="11" max="11" width="9.125" style="2" customWidth="1" outlineLevel="1"/>
    <col min="12" max="12" width="13.875" customWidth="1" outlineLevel="1"/>
    <col min="13" max="13" width="15.125" customWidth="1" outlineLevel="1"/>
    <col min="14" max="14" width="9.125" customWidth="1" outlineLevel="1"/>
    <col min="15" max="15" width="19.625" customWidth="1" outlineLevel="1"/>
    <col min="17" max="19" width="9.125" customWidth="1"/>
  </cols>
  <sheetData>
    <row r="1" spans="1:16" ht="16.5">
      <c r="D1" s="9" t="str">
        <f>_xlfn.UNICHAR(9917)</f>
        <v>⚽</v>
      </c>
      <c r="E1" s="10" t="s">
        <v>44</v>
      </c>
      <c r="F1" t="str">
        <f>_xlfn.UNICHAR(128095)</f>
        <v>👟</v>
      </c>
    </row>
    <row r="2" spans="1:16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s="6" t="s">
        <v>52</v>
      </c>
      <c r="I2" s="3" t="s">
        <v>53</v>
      </c>
      <c r="J2" s="3" t="s">
        <v>54</v>
      </c>
      <c r="K2" t="s">
        <v>55</v>
      </c>
      <c r="L2" t="s">
        <v>19</v>
      </c>
      <c r="M2" t="s">
        <v>21</v>
      </c>
      <c r="N2" t="s">
        <v>25</v>
      </c>
      <c r="O2" t="s">
        <v>56</v>
      </c>
      <c r="P2" t="s">
        <v>57</v>
      </c>
    </row>
    <row r="3" spans="1:16" ht="15">
      <c r="A3" s="1">
        <v>46228</v>
      </c>
      <c r="B3" t="s">
        <v>16</v>
      </c>
      <c r="C3" t="str">
        <f>_xlfn.CONCAT(REPT($D$1,D3), REPT($F$1,E3))</f>
        <v>⚽⚽👟</v>
      </c>
      <c r="D3">
        <v>2</v>
      </c>
      <c r="E3">
        <v>1</v>
      </c>
      <c r="F3">
        <v>9.8000000000000007</v>
      </c>
      <c r="G3" t="s">
        <v>58</v>
      </c>
      <c r="H3" s="6">
        <v>0.39583333333333331</v>
      </c>
      <c r="J3" s="3">
        <f>SUM(D3:E3)</f>
        <v>3</v>
      </c>
      <c r="K3" s="7" t="str">
        <f>_xlfn.IFS(
    AND(H3=TIME(20,0,0), G3&lt;&gt;"九龍仔", G3&lt;&gt;"曾大屋"), "馬哲",
    G3="雲景道", "梁哥",
    OR(G3 = "九龍仔", G3 = "曾大屋"), "子睿",
    G3 = "Aldrich Bay", "QC football",
    G3 = "馬鞍山游樂場", "Thomas",
    TRUE, "Barry"
)</f>
        <v>Barry</v>
      </c>
      <c r="L3">
        <v>0</v>
      </c>
      <c r="M3">
        <v>2</v>
      </c>
      <c r="N3">
        <v>0</v>
      </c>
      <c r="O3">
        <v>0</v>
      </c>
      <c r="P3" t="str">
        <f>IF(A3="","", (YEAR(A3)-IF(MONTH(A3)&lt;8,1,0)) &amp; "-" &amp; (YEAR(A3)+IF(MONTH(A3)&gt;=8,1,0)))</f>
        <v>2025-2026</v>
      </c>
    </row>
    <row r="4" spans="1:16" ht="15">
      <c r="A4" s="1">
        <v>46228</v>
      </c>
      <c r="B4" t="s">
        <v>17</v>
      </c>
      <c r="C4" t="str">
        <f>_xlfn.CONCAT(REPT($D$1,D4), REPT($F$1,E4))</f>
        <v>👟👟</v>
      </c>
      <c r="D4">
        <v>0</v>
      </c>
      <c r="E4">
        <v>2</v>
      </c>
      <c r="F4">
        <v>8.4</v>
      </c>
      <c r="G4" t="s">
        <v>58</v>
      </c>
      <c r="H4" s="6">
        <v>0.39583333333333331</v>
      </c>
      <c r="J4" s="3">
        <f>SUM(D4:E4)</f>
        <v>2</v>
      </c>
      <c r="K4" s="7" t="str">
        <f>_xlfn.IFS(
    AND(H4=TIME(20,0,0), G4&lt;&gt;"九龍仔", G4&lt;&gt;"曾大屋"), "馬哲",
    G4="雲景道", "梁哥",
    OR(G4 = "九龍仔", G4 = "曾大屋"), "子睿",
    G4 = "Aldrich Bay", "QC football",
    G4 = "馬鞍山游樂場", "Thomas",
    TRUE, "Barry"
)</f>
        <v>Barry</v>
      </c>
      <c r="L4">
        <v>0</v>
      </c>
      <c r="M4">
        <v>0</v>
      </c>
      <c r="N4">
        <v>0</v>
      </c>
      <c r="O4">
        <v>0</v>
      </c>
      <c r="P4" t="str">
        <f t="shared" ref="P4:P67" si="0">IF(A4="","", (YEAR(A4)-IF(MONTH(A4)&lt;8,1,0)) &amp; "-" &amp; (YEAR(A4)+IF(MONTH(A4)&gt;=8,1,0)))</f>
        <v>2025-2026</v>
      </c>
    </row>
    <row r="5" spans="1:16" ht="15">
      <c r="A5" s="1">
        <v>46222</v>
      </c>
      <c r="B5" t="s">
        <v>16</v>
      </c>
      <c r="C5" t="str">
        <f>_xlfn.CONCAT(REPT($D$1,D5), REPT($F$1,E5))</f>
        <v>⚽</v>
      </c>
      <c r="D5">
        <v>1</v>
      </c>
      <c r="E5">
        <v>0</v>
      </c>
      <c r="F5">
        <v>7.4</v>
      </c>
      <c r="G5" t="s">
        <v>39</v>
      </c>
      <c r="H5" s="6">
        <v>0.6875</v>
      </c>
      <c r="J5" s="3">
        <f>SUM(D5:E5)</f>
        <v>1</v>
      </c>
      <c r="K5" s="7" t="str">
        <f>_xlfn.IFS(
    AND(H5=TIME(20,0,0), G5&lt;&gt;"九龍仔", G5&lt;&gt;"曾大屋"), "馬哲",
    G5="雲景道", "梁哥",
    OR(G5 = "九龍仔", G5 = "曾大屋"), "子睿",
    G5 = "Aldrich Bay", "QC football",
    G5 = "馬鞍山游樂場", "Thomas",
    TRUE, "Barry"
)</f>
        <v>梁哥</v>
      </c>
      <c r="L5">
        <v>0</v>
      </c>
      <c r="M5">
        <v>1</v>
      </c>
      <c r="N5">
        <v>0</v>
      </c>
      <c r="O5">
        <v>0</v>
      </c>
      <c r="P5" t="str">
        <f t="shared" si="0"/>
        <v>2025-2026</v>
      </c>
    </row>
    <row r="6" spans="1:16" ht="15">
      <c r="A6" s="1">
        <v>46221</v>
      </c>
      <c r="B6" t="s">
        <v>16</v>
      </c>
      <c r="C6" t="str">
        <f>_xlfn.CONCAT(REPT($D$1,D6), REPT($F$1,E6))</f>
        <v>⚽⚽⚽</v>
      </c>
      <c r="D6">
        <v>3</v>
      </c>
      <c r="E6">
        <v>0</v>
      </c>
      <c r="F6">
        <v>9.6999999999999993</v>
      </c>
      <c r="G6" t="s">
        <v>42</v>
      </c>
      <c r="H6" s="6">
        <v>0.47916666666666669</v>
      </c>
      <c r="J6" s="3">
        <f>SUM(D6:E6)</f>
        <v>3</v>
      </c>
      <c r="K6" s="7" t="str">
        <f>_xlfn.IFS(
    AND(H6=TIME(20,0,0), G6&lt;&gt;"九龍仔", G6&lt;&gt;"曾大屋"), "馬哲",
    G6="雲景道", "梁哥",
    OR(G6 = "九龍仔", G6 = "曾大屋"), "子睿",
    G6 = "Aldrich Bay", "QC football",
    G6 = "馬鞍山游樂場", "Thomas",
    TRUE, "Barry"
)</f>
        <v>Barry</v>
      </c>
      <c r="L6">
        <v>1</v>
      </c>
      <c r="M6">
        <v>2</v>
      </c>
      <c r="N6">
        <v>0</v>
      </c>
      <c r="O6">
        <v>0</v>
      </c>
      <c r="P6" t="str">
        <f t="shared" si="0"/>
        <v>2025-2026</v>
      </c>
    </row>
    <row r="7" spans="1:16" ht="15">
      <c r="A7" s="1">
        <v>46215</v>
      </c>
      <c r="B7" t="s">
        <v>16</v>
      </c>
      <c r="C7" t="str">
        <f>_xlfn.CONCAT(REPT($D$1,D7), REPT($F$1,E7))</f>
        <v>⚽👟</v>
      </c>
      <c r="D7">
        <v>1</v>
      </c>
      <c r="E7">
        <v>1</v>
      </c>
      <c r="F7">
        <v>8.6999999999999993</v>
      </c>
      <c r="G7" t="s">
        <v>39</v>
      </c>
      <c r="H7" s="6">
        <v>0.6875</v>
      </c>
      <c r="J7" s="3">
        <f>SUM(D7:E7)</f>
        <v>2</v>
      </c>
      <c r="K7" s="7" t="str">
        <f>_xlfn.IFS(
    AND(H7=TIME(20,0,0), G7&lt;&gt;"九龍仔", G7&lt;&gt;"曾大屋"), "馬哲",
    G7="雲景道", "梁哥",
    OR(G7 = "九龍仔", G7 = "曾大屋"), "子睿",
    G7 = "Aldrich Bay", "QC football",
    G7 = "馬鞍山游樂場", "Thomas",
    TRUE, "Barry"
)</f>
        <v>梁哥</v>
      </c>
      <c r="L7">
        <v>0</v>
      </c>
      <c r="M7">
        <v>1</v>
      </c>
      <c r="N7">
        <v>0</v>
      </c>
      <c r="O7">
        <v>0</v>
      </c>
      <c r="P7" t="str">
        <f t="shared" si="0"/>
        <v>2025-2026</v>
      </c>
    </row>
    <row r="8" spans="1:16" ht="15">
      <c r="A8" s="1">
        <v>46215</v>
      </c>
      <c r="B8" t="s">
        <v>17</v>
      </c>
      <c r="C8" t="str">
        <f>_xlfn.CONCAT(REPT($D$1,D8), REPT($F$1,E8))</f>
        <v>⚽⚽⚽👟</v>
      </c>
      <c r="D8">
        <v>3</v>
      </c>
      <c r="E8">
        <v>1</v>
      </c>
      <c r="F8">
        <v>9.9</v>
      </c>
      <c r="G8" t="s">
        <v>39</v>
      </c>
      <c r="H8" s="6">
        <v>0.6875</v>
      </c>
      <c r="J8" s="3">
        <f>SUM(D8:E8)</f>
        <v>4</v>
      </c>
      <c r="K8" s="7" t="str">
        <f>_xlfn.IFS(
    AND(H8=TIME(20,0,0), G8&lt;&gt;"九龍仔", G8&lt;&gt;"曾大屋"), "馬哲",
    G8="雲景道", "梁哥",
    OR(G8 = "九龍仔", G8 = "曾大屋"), "子睿",
    G8 = "Aldrich Bay", "QC football",
    G8 = "馬鞍山游樂場", "Thomas",
    TRUE, "Barry"
)</f>
        <v>梁哥</v>
      </c>
      <c r="L8">
        <v>1</v>
      </c>
      <c r="M8">
        <v>1</v>
      </c>
      <c r="N8">
        <v>1</v>
      </c>
      <c r="O8">
        <v>0</v>
      </c>
      <c r="P8" t="str">
        <f t="shared" si="0"/>
        <v>2025-2026</v>
      </c>
    </row>
    <row r="9" spans="1:16" ht="15">
      <c r="A9" s="1">
        <v>46212</v>
      </c>
      <c r="B9" t="s">
        <v>16</v>
      </c>
      <c r="C9" t="str">
        <f>_xlfn.CONCAT(REPT($D$1,D9), REPT($F$1,E9))</f>
        <v>⚽👟👟</v>
      </c>
      <c r="D9">
        <v>1</v>
      </c>
      <c r="E9">
        <v>2</v>
      </c>
      <c r="F9">
        <v>8.6999999999999993</v>
      </c>
      <c r="G9" t="s">
        <v>40</v>
      </c>
      <c r="H9" s="6">
        <v>0.83333333333333337</v>
      </c>
      <c r="I9" s="3">
        <v>1</v>
      </c>
      <c r="J9" s="3">
        <f>SUM(D9:E9)</f>
        <v>3</v>
      </c>
      <c r="K9" s="7" t="s">
        <v>59</v>
      </c>
      <c r="L9">
        <v>0</v>
      </c>
      <c r="M9">
        <v>1</v>
      </c>
      <c r="N9">
        <v>0</v>
      </c>
      <c r="O9">
        <v>0</v>
      </c>
      <c r="P9" t="str">
        <f t="shared" si="0"/>
        <v>2025-2026</v>
      </c>
    </row>
    <row r="10" spans="1:16" ht="15">
      <c r="A10" s="1">
        <v>46212</v>
      </c>
      <c r="B10" t="s">
        <v>17</v>
      </c>
      <c r="C10" t="str">
        <f>_xlfn.CONCAT(REPT($D$1,D10), REPT($F$1,E10))</f>
        <v>⚽⚽⚽👟</v>
      </c>
      <c r="D10">
        <v>3</v>
      </c>
      <c r="E10">
        <v>1</v>
      </c>
      <c r="F10">
        <v>9.8000000000000007</v>
      </c>
      <c r="G10" t="s">
        <v>40</v>
      </c>
      <c r="H10" s="6">
        <v>0.83333333333333337</v>
      </c>
      <c r="J10" s="3">
        <f>SUM(D10:E10)</f>
        <v>4</v>
      </c>
      <c r="K10" s="7" t="s">
        <v>59</v>
      </c>
      <c r="L10">
        <v>2</v>
      </c>
      <c r="M10">
        <v>1</v>
      </c>
      <c r="N10">
        <v>0</v>
      </c>
      <c r="O10">
        <v>0</v>
      </c>
      <c r="P10" t="str">
        <f t="shared" si="0"/>
        <v>2025-2026</v>
      </c>
    </row>
    <row r="11" spans="1:16" ht="14.25">
      <c r="A11" s="1">
        <v>46208</v>
      </c>
      <c r="B11" t="s">
        <v>16</v>
      </c>
      <c r="C11" t="str">
        <f>_xlfn.CONCAT(REPT($D$1,D11), REPT($F$1,E11))</f>
        <v>⚽⚽⚽⚽</v>
      </c>
      <c r="D11">
        <v>4</v>
      </c>
      <c r="E11">
        <v>0</v>
      </c>
      <c r="F11">
        <v>10</v>
      </c>
      <c r="G11" t="s">
        <v>40</v>
      </c>
      <c r="H11" s="6">
        <v>0.47916666666666669</v>
      </c>
      <c r="J11" s="3">
        <f>SUM(D11:E11)</f>
        <v>4</v>
      </c>
      <c r="K11" t="s">
        <v>60</v>
      </c>
      <c r="L11">
        <v>0</v>
      </c>
      <c r="M11">
        <v>4</v>
      </c>
      <c r="N11">
        <v>0</v>
      </c>
      <c r="O11">
        <v>0</v>
      </c>
      <c r="P11" t="str">
        <f t="shared" si="0"/>
        <v>2025-2026</v>
      </c>
    </row>
    <row r="12" spans="1:16" ht="14.25">
      <c r="A12" s="1">
        <v>46208</v>
      </c>
      <c r="B12" t="s">
        <v>17</v>
      </c>
      <c r="C12" t="str">
        <f>_xlfn.CONCAT(REPT($D$1,D12), REPT($F$1,E12))</f>
        <v>👟👟👟👟</v>
      </c>
      <c r="D12">
        <v>0</v>
      </c>
      <c r="E12">
        <v>4</v>
      </c>
      <c r="F12">
        <v>10</v>
      </c>
      <c r="G12" t="s">
        <v>40</v>
      </c>
      <c r="H12" s="6">
        <v>0.47916666666666669</v>
      </c>
      <c r="J12" s="3">
        <f>SUM(D12:E12)</f>
        <v>4</v>
      </c>
      <c r="K12" t="s">
        <v>60</v>
      </c>
      <c r="L12">
        <v>0</v>
      </c>
      <c r="M12">
        <v>0</v>
      </c>
      <c r="N12">
        <v>0</v>
      </c>
      <c r="O12">
        <v>0</v>
      </c>
      <c r="P12" t="str">
        <f t="shared" si="0"/>
        <v>2025-2026</v>
      </c>
    </row>
    <row r="13" spans="1:16" ht="14.25">
      <c r="A13" s="1">
        <v>46204</v>
      </c>
      <c r="B13" t="s">
        <v>16</v>
      </c>
      <c r="C13" t="str">
        <f>_xlfn.CONCAT(REPT($D$1,D13), REPT($F$1,E13))</f>
        <v>⚽⚽👟</v>
      </c>
      <c r="D13">
        <v>2</v>
      </c>
      <c r="E13">
        <v>1</v>
      </c>
      <c r="F13">
        <v>10</v>
      </c>
      <c r="G13" t="s">
        <v>61</v>
      </c>
      <c r="H13" s="6">
        <v>0.44791666666666669</v>
      </c>
      <c r="J13" s="3">
        <f>SUM(D13:E13)</f>
        <v>3</v>
      </c>
      <c r="K13" t="s">
        <v>60</v>
      </c>
      <c r="L13">
        <v>1</v>
      </c>
      <c r="M13">
        <v>1</v>
      </c>
      <c r="N13">
        <v>0</v>
      </c>
      <c r="O13">
        <v>0</v>
      </c>
      <c r="P13" t="str">
        <f t="shared" si="0"/>
        <v>2025-2026</v>
      </c>
    </row>
    <row r="14" spans="1:16" ht="14.25">
      <c r="A14" s="1">
        <v>46204</v>
      </c>
      <c r="B14" t="s">
        <v>17</v>
      </c>
      <c r="C14" t="str">
        <f>_xlfn.CONCAT(REPT($D$1,D14), REPT($F$1,E14))</f>
        <v>⚽⚽👟</v>
      </c>
      <c r="D14">
        <v>2</v>
      </c>
      <c r="E14">
        <v>1</v>
      </c>
      <c r="F14">
        <v>9.9</v>
      </c>
      <c r="G14" t="s">
        <v>61</v>
      </c>
      <c r="H14" s="6">
        <v>0.44791666666666669</v>
      </c>
      <c r="J14" s="3">
        <f>SUM(D14:E14)</f>
        <v>3</v>
      </c>
      <c r="K14" t="s">
        <v>60</v>
      </c>
      <c r="L14">
        <v>1</v>
      </c>
      <c r="M14">
        <v>1</v>
      </c>
      <c r="N14">
        <v>0</v>
      </c>
      <c r="O14">
        <v>0</v>
      </c>
      <c r="P14" t="str">
        <f t="shared" si="0"/>
        <v>2025-2026</v>
      </c>
    </row>
    <row r="15" spans="1:16" ht="14.25">
      <c r="A15" s="1">
        <v>46194</v>
      </c>
      <c r="B15" t="s">
        <v>16</v>
      </c>
      <c r="C15" t="str">
        <f>_xlfn.CONCAT(REPT($D$1,D15), REPT($F$1,E15))</f>
        <v>⚽👟👟👟</v>
      </c>
      <c r="D15">
        <v>1</v>
      </c>
      <c r="E15">
        <v>3</v>
      </c>
      <c r="F15">
        <v>9.8000000000000007</v>
      </c>
      <c r="G15" t="s">
        <v>41</v>
      </c>
      <c r="H15" s="6">
        <v>0.4375</v>
      </c>
      <c r="J15" s="3">
        <f>SUM(D15:E15)</f>
        <v>4</v>
      </c>
      <c r="K15" s="2" t="str">
        <f>_xlfn.IFS(
    AND(H15=TIME(20,0,0), G15&lt;&gt;"九龍仔", G15&lt;&gt;"曾大屋"), "馬哲",
    G15="雲景道", "梁哥",
    OR(G15 = "九龍仔", G15 = "曾大屋"), "子睿",
    G15 = "Aldrich Bay", "QC football",
    G15 = "馬鞍山游樂場", "Thomas",
    TRUE, "Barry"
)</f>
        <v>Barry</v>
      </c>
      <c r="L15">
        <v>0</v>
      </c>
      <c r="M15">
        <v>1</v>
      </c>
      <c r="N15">
        <v>0</v>
      </c>
      <c r="O15">
        <v>0</v>
      </c>
      <c r="P15" t="str">
        <f t="shared" si="0"/>
        <v>2025-2026</v>
      </c>
    </row>
    <row r="16" spans="1:16" ht="14.25">
      <c r="A16" s="1">
        <v>46194</v>
      </c>
      <c r="B16" t="s">
        <v>17</v>
      </c>
      <c r="C16" t="str">
        <f>_xlfn.CONCAT(REPT($D$1,D16), REPT($F$1,E16))</f>
        <v>⚽⚽⚽⚽</v>
      </c>
      <c r="D16">
        <v>4</v>
      </c>
      <c r="E16">
        <v>0</v>
      </c>
      <c r="F16">
        <v>9.8000000000000007</v>
      </c>
      <c r="G16" t="s">
        <v>41</v>
      </c>
      <c r="H16" s="6">
        <v>0.4375</v>
      </c>
      <c r="J16" s="3">
        <f>SUM(D16:E16)</f>
        <v>4</v>
      </c>
      <c r="K16" s="2" t="str">
        <f>_xlfn.IFS(
    AND(H16=TIME(20,0,0), G16&lt;&gt;"九龍仔", G16&lt;&gt;"曾大屋"), "馬哲",
    G16="雲景道", "梁哥",
    OR(G16 = "九龍仔", G16 = "曾大屋"), "子睿",
    G16 = "Aldrich Bay", "QC football",
    G16 = "馬鞍山游樂場", "Thomas",
    TRUE, "Barry"
)</f>
        <v>Barry</v>
      </c>
      <c r="L16">
        <v>3</v>
      </c>
      <c r="M16">
        <v>1</v>
      </c>
      <c r="N16">
        <v>0</v>
      </c>
      <c r="O16">
        <v>0</v>
      </c>
      <c r="P16" t="str">
        <f t="shared" si="0"/>
        <v>2025-2026</v>
      </c>
    </row>
    <row r="17" spans="1:16" ht="14.25">
      <c r="A17" s="1">
        <v>46192</v>
      </c>
      <c r="B17" t="s">
        <v>16</v>
      </c>
      <c r="C17" t="str">
        <f>_xlfn.CONCAT(REPT($D$1,D17), REPT($F$1,E17))</f>
        <v>⚽⚽</v>
      </c>
      <c r="D17">
        <v>2</v>
      </c>
      <c r="E17">
        <v>0</v>
      </c>
      <c r="F17">
        <v>8.8000000000000007</v>
      </c>
      <c r="G17" t="s">
        <v>42</v>
      </c>
      <c r="H17" s="6">
        <v>0.39583333333333331</v>
      </c>
      <c r="J17" s="3">
        <f>SUM(D17:E17)</f>
        <v>2</v>
      </c>
      <c r="K17" s="2" t="str">
        <f>_xlfn.IFS(
    AND(H17=TIME(20,0,0), G17&lt;&gt;"九龍仔", G17&lt;&gt;"曾大屋"), "馬哲",
    G17="雲景道", "梁哥",
    OR(G17 = "九龍仔", G17 = "曾大屋"), "子睿",
    G17 = "Aldrich Bay", "QC football",
    G17 = "馬鞍山游樂場", "Thomas",
    TRUE, "Barry"
)</f>
        <v>Barry</v>
      </c>
      <c r="L17">
        <v>0</v>
      </c>
      <c r="M17">
        <v>2</v>
      </c>
      <c r="N17">
        <v>0</v>
      </c>
      <c r="O17">
        <v>0</v>
      </c>
      <c r="P17" t="str">
        <f t="shared" si="0"/>
        <v>2025-2026</v>
      </c>
    </row>
    <row r="18" spans="1:16" ht="14.25">
      <c r="A18" s="1">
        <v>46192</v>
      </c>
      <c r="B18" t="s">
        <v>17</v>
      </c>
      <c r="C18" t="str">
        <f>_xlfn.CONCAT(REPT($D$1,D18), REPT($F$1,E18))</f>
        <v>⚽</v>
      </c>
      <c r="D18">
        <v>1</v>
      </c>
      <c r="E18">
        <v>0</v>
      </c>
      <c r="F18">
        <v>8.8000000000000007</v>
      </c>
      <c r="G18" t="s">
        <v>42</v>
      </c>
      <c r="H18" s="6">
        <v>0.39583333333333331</v>
      </c>
      <c r="J18" s="3">
        <f>SUM(D18:E18)</f>
        <v>1</v>
      </c>
      <c r="K18" s="2" t="str">
        <f>_xlfn.IFS(
    AND(H18=TIME(20,0,0), G18&lt;&gt;"九龍仔", G18&lt;&gt;"曾大屋"), "馬哲",
    G18="雲景道", "梁哥",
    OR(G18 = "九龍仔", G18 = "曾大屋"), "子睿",
    G18 = "Aldrich Bay", "QC football",
    G18 = "馬鞍山游樂場", "Thomas",
    TRUE, "Barry"
)</f>
        <v>Barry</v>
      </c>
      <c r="L18">
        <v>1</v>
      </c>
      <c r="M18">
        <v>0</v>
      </c>
      <c r="N18">
        <v>0</v>
      </c>
      <c r="O18">
        <v>0</v>
      </c>
      <c r="P18" t="str">
        <f t="shared" si="0"/>
        <v>2025-2026</v>
      </c>
    </row>
    <row r="19" spans="1:16" ht="15">
      <c r="A19" s="1">
        <v>46184</v>
      </c>
      <c r="B19" t="s">
        <v>16</v>
      </c>
      <c r="C19" t="str">
        <f>_xlfn.CONCAT(REPT($D$1,D19), REPT($F$1,E19))</f>
        <v/>
      </c>
      <c r="D19">
        <v>0</v>
      </c>
      <c r="E19">
        <v>0</v>
      </c>
      <c r="F19">
        <v>6.8</v>
      </c>
      <c r="G19" t="s">
        <v>62</v>
      </c>
      <c r="H19" s="6">
        <v>0.83333333333333337</v>
      </c>
      <c r="J19" s="3">
        <f>SUM(D19:E19)</f>
        <v>0</v>
      </c>
      <c r="K19" s="7" t="s">
        <v>59</v>
      </c>
      <c r="L19">
        <v>0</v>
      </c>
      <c r="M19">
        <v>0</v>
      </c>
      <c r="N19">
        <v>0</v>
      </c>
      <c r="O19">
        <v>0</v>
      </c>
      <c r="P19" t="str">
        <f t="shared" si="0"/>
        <v>2025-2026</v>
      </c>
    </row>
    <row r="20" spans="1:16" ht="15">
      <c r="A20" s="1">
        <v>46184</v>
      </c>
      <c r="B20" t="s">
        <v>17</v>
      </c>
      <c r="C20" t="str">
        <f>_xlfn.CONCAT(REPT($D$1,D20), REPT($F$1,E20))</f>
        <v/>
      </c>
      <c r="D20">
        <v>0</v>
      </c>
      <c r="E20">
        <v>0</v>
      </c>
      <c r="F20">
        <v>7</v>
      </c>
      <c r="G20" t="s">
        <v>62</v>
      </c>
      <c r="H20" s="6">
        <v>0.83333333333333337</v>
      </c>
      <c r="J20" s="3">
        <f>SUM(D20:E20)</f>
        <v>0</v>
      </c>
      <c r="K20" s="7" t="s">
        <v>59</v>
      </c>
      <c r="L20">
        <v>0</v>
      </c>
      <c r="M20">
        <v>0</v>
      </c>
      <c r="N20">
        <v>0</v>
      </c>
      <c r="O20">
        <v>0</v>
      </c>
      <c r="P20" t="str">
        <f t="shared" si="0"/>
        <v>2025-2026</v>
      </c>
    </row>
    <row r="21" spans="1:16" ht="15">
      <c r="A21" s="1">
        <v>46177</v>
      </c>
      <c r="B21" t="s">
        <v>16</v>
      </c>
      <c r="C21" t="str">
        <f>_xlfn.CONCAT(REPT($D$1,D21), REPT($F$1,E21))</f>
        <v>⚽👟</v>
      </c>
      <c r="D21">
        <v>1</v>
      </c>
      <c r="E21">
        <v>1</v>
      </c>
      <c r="F21">
        <v>8.4</v>
      </c>
      <c r="G21" t="s">
        <v>40</v>
      </c>
      <c r="H21" s="6">
        <v>0.83333333333333337</v>
      </c>
      <c r="J21" s="3">
        <f>SUM(D21:E21)</f>
        <v>2</v>
      </c>
      <c r="K21" s="7" t="str">
        <f>_xlfn.IFS(
    AND(H21=TIME(20,0,0), G21&lt;&gt;"九龍仔", G21&lt;&gt;"曾大屋"), "馬哲",
    G21="雲景道", "梁哥",
    OR(G21 = "九龍仔", G21 = "曾大屋"), "子睿",
    G21 = "Aldrich Bay", "QC football",
    G21 = "馬鞍山游樂場", "Thomas",
    TRUE, "Barry"
)</f>
        <v>馬哲</v>
      </c>
      <c r="L21">
        <v>1</v>
      </c>
      <c r="M21">
        <v>0</v>
      </c>
      <c r="N21">
        <v>0</v>
      </c>
      <c r="O21">
        <v>0</v>
      </c>
      <c r="P21" t="str">
        <f t="shared" si="0"/>
        <v>2025-2026</v>
      </c>
    </row>
    <row r="22" spans="1:16" ht="15">
      <c r="A22" s="1">
        <v>46177</v>
      </c>
      <c r="B22" t="s">
        <v>17</v>
      </c>
      <c r="C22" t="str">
        <f>_xlfn.CONCAT(REPT($D$1,D22), REPT($F$1,E22))</f>
        <v>⚽⚽⚽⚽👟👟</v>
      </c>
      <c r="D22">
        <v>4</v>
      </c>
      <c r="E22">
        <v>2</v>
      </c>
      <c r="F22">
        <v>10</v>
      </c>
      <c r="G22" t="s">
        <v>40</v>
      </c>
      <c r="H22" s="6">
        <v>0.83333333333333337</v>
      </c>
      <c r="J22" s="3">
        <f>SUM(D22:E22)</f>
        <v>6</v>
      </c>
      <c r="K22" s="7" t="str">
        <f>_xlfn.IFS(
    AND(H22=TIME(20,0,0), G22&lt;&gt;"九龍仔", G22&lt;&gt;"曾大屋"), "馬哲",
    G22="雲景道", "梁哥",
    OR(G22 = "九龍仔", G22 = "曾大屋"), "子睿",
    G22 = "Aldrich Bay", "QC football",
    G22 = "馬鞍山游樂場", "Thomas",
    TRUE, "Barry"
)</f>
        <v>馬哲</v>
      </c>
      <c r="L22">
        <v>0</v>
      </c>
      <c r="M22">
        <v>3</v>
      </c>
      <c r="N22">
        <v>1</v>
      </c>
      <c r="O22">
        <v>0</v>
      </c>
      <c r="P22" t="str">
        <f t="shared" si="0"/>
        <v>2025-2026</v>
      </c>
    </row>
    <row r="23" spans="1:16" ht="15">
      <c r="A23" s="1">
        <v>46173</v>
      </c>
      <c r="B23" t="s">
        <v>16</v>
      </c>
      <c r="C23" t="str">
        <f>_xlfn.CONCAT(REPT($D$1,D23), REPT($F$1,E23))</f>
        <v>⚽👟</v>
      </c>
      <c r="D23">
        <v>1</v>
      </c>
      <c r="E23">
        <v>1</v>
      </c>
      <c r="F23">
        <v>10</v>
      </c>
      <c r="G23" t="s">
        <v>39</v>
      </c>
      <c r="H23" s="6">
        <v>0.6875</v>
      </c>
      <c r="J23" s="3">
        <f>SUM(D23:E23)</f>
        <v>2</v>
      </c>
      <c r="K23" s="7" t="str">
        <f>_xlfn.IFS(
    AND(H23=TIME(20,0,0), G23&lt;&gt;"九龍仔", G23&lt;&gt;"曾大屋"), "馬哲",
    G23="雲景道", "梁哥",
    OR(G23 = "九龍仔", G23 = "曾大屋"), "子睿",
    G23 = "Aldrich Bay", "QC football",
    G23 = "馬鞍山游樂場", "Thomas",
    TRUE, "Barry"
)</f>
        <v>梁哥</v>
      </c>
      <c r="L23">
        <v>0</v>
      </c>
      <c r="M23">
        <v>1</v>
      </c>
      <c r="N23">
        <v>0</v>
      </c>
      <c r="O23">
        <v>0</v>
      </c>
      <c r="P23" t="str">
        <f t="shared" si="0"/>
        <v>2025-2026</v>
      </c>
    </row>
    <row r="24" spans="1:16" ht="15">
      <c r="A24" s="1">
        <v>46173</v>
      </c>
      <c r="B24" t="s">
        <v>17</v>
      </c>
      <c r="C24" t="str">
        <f>_xlfn.CONCAT(REPT($D$1,D24), REPT($F$1,E24))</f>
        <v>⚽⚽⚽👟👟👟</v>
      </c>
      <c r="D24">
        <v>3</v>
      </c>
      <c r="E24">
        <v>3</v>
      </c>
      <c r="F24">
        <v>8.3000000000000007</v>
      </c>
      <c r="G24" t="s">
        <v>39</v>
      </c>
      <c r="H24" s="6">
        <v>0.6875</v>
      </c>
      <c r="J24" s="3">
        <f>SUM(D24:E24)</f>
        <v>6</v>
      </c>
      <c r="K24" s="7" t="str">
        <f>_xlfn.IFS(
    AND(H24=TIME(20,0,0), G24&lt;&gt;"九龍仔", G24&lt;&gt;"曾大屋"), "馬哲",
    G24="雲景道", "梁哥",
    OR(G24 = "九龍仔", G24 = "曾大屋"), "子睿",
    G24 = "Aldrich Bay", "QC football",
    G24 = "馬鞍山游樂場", "Thomas",
    TRUE, "Barry"
)</f>
        <v>梁哥</v>
      </c>
      <c r="L24">
        <v>0</v>
      </c>
      <c r="M24">
        <v>2</v>
      </c>
      <c r="N24">
        <v>1</v>
      </c>
      <c r="O24">
        <v>0</v>
      </c>
      <c r="P24" t="str">
        <f t="shared" si="0"/>
        <v>2025-2026</v>
      </c>
    </row>
    <row r="25" spans="1:16" ht="15">
      <c r="A25" s="1">
        <v>46166</v>
      </c>
      <c r="B25" t="s">
        <v>17</v>
      </c>
      <c r="C25" t="str">
        <f>_xlfn.CONCAT(REPT($D$1,D25), REPT($F$1,E25))</f>
        <v>⚽</v>
      </c>
      <c r="D25">
        <v>1</v>
      </c>
      <c r="E25">
        <v>0</v>
      </c>
      <c r="F25">
        <v>8.4</v>
      </c>
      <c r="G25" t="s">
        <v>42</v>
      </c>
      <c r="H25" s="6">
        <v>0.39583333333333331</v>
      </c>
      <c r="J25" s="3">
        <f>SUM(D25:E25)</f>
        <v>1</v>
      </c>
      <c r="K25" s="7" t="str">
        <f>_xlfn.IFS(
    AND(H25=TIME(20,0,0), G25&lt;&gt;"九龍仔", G25&lt;&gt;"曾大屋"), "馬哲",
    G25="雲景道", "梁哥",
    OR(G25 = "九龍仔", G25 = "曾大屋"), "子睿",
    G25 = "Aldrich Bay", "QC football",
    G25 = "馬鞍山游樂場", "Thomas",
    TRUE, "Barry"
)</f>
        <v>Barry</v>
      </c>
      <c r="L25">
        <v>0</v>
      </c>
      <c r="M25">
        <v>1</v>
      </c>
      <c r="N25">
        <v>0</v>
      </c>
      <c r="O25">
        <v>0</v>
      </c>
      <c r="P25" t="str">
        <f t="shared" si="0"/>
        <v>2025-2026</v>
      </c>
    </row>
    <row r="26" spans="1:16" ht="15">
      <c r="A26" s="1">
        <v>46166</v>
      </c>
      <c r="B26" t="s">
        <v>16</v>
      </c>
      <c r="C26" t="str">
        <f>_xlfn.CONCAT(REPT($D$1,D26), REPT($F$1,E26))</f>
        <v>⚽⚽👟</v>
      </c>
      <c r="D26">
        <v>2</v>
      </c>
      <c r="E26">
        <v>1</v>
      </c>
      <c r="F26">
        <v>8.3000000000000007</v>
      </c>
      <c r="G26" t="s">
        <v>42</v>
      </c>
      <c r="H26" s="6">
        <v>0.39583333333333331</v>
      </c>
      <c r="J26" s="3">
        <f>SUM(D26:E26)</f>
        <v>3</v>
      </c>
      <c r="K26" s="7" t="str">
        <f>_xlfn.IFS(
    AND(H26=TIME(20,0,0), G26&lt;&gt;"九龍仔", G26&lt;&gt;"曾大屋"), "馬哲",
    G26="雲景道", "梁哥",
    OR(G26 = "九龍仔", G26 = "曾大屋"), "子睿",
    G26 = "Aldrich Bay", "QC football",
    G26 = "馬鞍山游樂場", "Thomas",
    TRUE, "Barry"
)</f>
        <v>Barry</v>
      </c>
      <c r="L26">
        <v>1</v>
      </c>
      <c r="M26">
        <v>1</v>
      </c>
      <c r="N26">
        <v>0</v>
      </c>
      <c r="O26">
        <v>0</v>
      </c>
      <c r="P26" t="str">
        <f t="shared" si="0"/>
        <v>2025-2026</v>
      </c>
    </row>
    <row r="27" spans="1:16" ht="29.25">
      <c r="A27" s="1">
        <v>46164</v>
      </c>
      <c r="B27" t="s">
        <v>17</v>
      </c>
      <c r="C27" t="str">
        <f>_xlfn.CONCAT(REPT($D$1,D27), REPT($F$1,E27))</f>
        <v>⚽👟</v>
      </c>
      <c r="D27">
        <v>1</v>
      </c>
      <c r="E27">
        <v>1</v>
      </c>
      <c r="F27">
        <v>8.6999999999999993</v>
      </c>
      <c r="G27" t="s">
        <v>63</v>
      </c>
      <c r="H27" s="6">
        <v>0.875</v>
      </c>
      <c r="J27" s="3">
        <f>SUM(D27:E27)</f>
        <v>2</v>
      </c>
      <c r="K27" s="7" t="str">
        <f>_xlfn.IFS(
    AND(H27=TIME(20,0,0), G27&lt;&gt;"九龍仔", G27&lt;&gt;"曾大屋"), "馬哲",
    G27="雲景道", "梁哥",
    OR(G27 = "九龍仔", G27 = "曾大屋"), "子睿",
    G27 = "Aldrich Bay", "QC football",
    G27 = "馬鞍山游樂場", "Thomas",
    TRUE, "Barry"
)</f>
        <v>Barry</v>
      </c>
      <c r="L27">
        <v>0</v>
      </c>
      <c r="M27">
        <v>1</v>
      </c>
      <c r="N27">
        <v>0</v>
      </c>
      <c r="O27">
        <v>0</v>
      </c>
      <c r="P27" t="str">
        <f t="shared" si="0"/>
        <v>2025-2026</v>
      </c>
    </row>
    <row r="28" spans="1:16" ht="15">
      <c r="A28" s="1">
        <v>46159</v>
      </c>
      <c r="B28" t="s">
        <v>16</v>
      </c>
      <c r="C28" t="str">
        <f>_xlfn.CONCAT(REPT($D$1,D28), REPT($F$1,E28))</f>
        <v>⚽⚽👟👟</v>
      </c>
      <c r="D28">
        <v>2</v>
      </c>
      <c r="E28">
        <v>2</v>
      </c>
      <c r="F28">
        <v>10</v>
      </c>
      <c r="G28" t="s">
        <v>42</v>
      </c>
      <c r="H28" s="6">
        <v>0.39583333333333331</v>
      </c>
      <c r="J28" s="3">
        <f>SUM(D28:E28)</f>
        <v>4</v>
      </c>
      <c r="K28" s="7" t="str">
        <f>_xlfn.IFS(
    AND(H28=TIME(20,0,0), G28&lt;&gt;"九龍仔", G28&lt;&gt;"曾大屋"), "馬哲",
    G28="雲景道", "梁哥",
    OR(G28 = "九龍仔", G28 = "曾大屋"), "子睿",
    G28 = "Aldrich Bay", "QC football",
    G28 = "馬鞍山游樂場", "Thomas",
    TRUE, "Barry"
)</f>
        <v>Barry</v>
      </c>
      <c r="L28">
        <v>0</v>
      </c>
      <c r="M28">
        <v>2</v>
      </c>
      <c r="N28">
        <v>0</v>
      </c>
      <c r="O28">
        <v>0</v>
      </c>
      <c r="P28" t="str">
        <f t="shared" si="0"/>
        <v>2025-2026</v>
      </c>
    </row>
    <row r="29" spans="1:16" ht="15">
      <c r="A29" s="1">
        <v>46159</v>
      </c>
      <c r="B29" t="s">
        <v>17</v>
      </c>
      <c r="C29" t="str">
        <f>_xlfn.CONCAT(REPT($D$1,D29), REPT($F$1,E29))</f>
        <v>⚽⚽👟</v>
      </c>
      <c r="D29">
        <v>2</v>
      </c>
      <c r="E29">
        <v>1</v>
      </c>
      <c r="F29">
        <v>9.1999999999999993</v>
      </c>
      <c r="G29" t="s">
        <v>42</v>
      </c>
      <c r="H29" s="6">
        <v>0.39583333333333331</v>
      </c>
      <c r="J29" s="3">
        <f>SUM(D29:E29)</f>
        <v>3</v>
      </c>
      <c r="K29" s="7" t="str">
        <f>_xlfn.IFS(
    AND(H29=TIME(20,0,0), G29&lt;&gt;"九龍仔", G29&lt;&gt;"曾大屋"), "馬哲",
    G29="雲景道", "梁哥",
    OR(G29 = "九龍仔", G29 = "曾大屋"), "子睿",
    G29 = "Aldrich Bay", "QC football",
    G29 = "馬鞍山游樂場", "Thomas",
    TRUE, "Barry"
)</f>
        <v>Barry</v>
      </c>
      <c r="L29">
        <v>0</v>
      </c>
      <c r="M29">
        <v>2</v>
      </c>
      <c r="N29">
        <v>0</v>
      </c>
      <c r="O29">
        <v>0</v>
      </c>
      <c r="P29" t="str">
        <f t="shared" si="0"/>
        <v>2025-2026</v>
      </c>
    </row>
    <row r="30" spans="1:16" ht="15">
      <c r="A30" s="1">
        <v>46154</v>
      </c>
      <c r="B30" t="s">
        <v>16</v>
      </c>
      <c r="C30" t="str">
        <f>_xlfn.CONCAT(REPT($D$1,D30), REPT($F$1,E30))</f>
        <v>⚽👟</v>
      </c>
      <c r="D30">
        <v>1</v>
      </c>
      <c r="E30">
        <v>1</v>
      </c>
      <c r="F30">
        <v>8.5</v>
      </c>
      <c r="G30" t="s">
        <v>40</v>
      </c>
      <c r="H30" s="6">
        <v>0.83333333333333337</v>
      </c>
      <c r="J30" s="3">
        <f>SUM(D30:E30)</f>
        <v>2</v>
      </c>
      <c r="K30" s="7" t="str">
        <f>_xlfn.IFS(
    AND(H30=TIME(20,0,0), G30&lt;&gt;"九龍仔", G30&lt;&gt;"曾大屋"), "馬哲",
    G30="雲景道", "梁哥",
    OR(G30 = "九龍仔", G30 = "曾大屋"), "子睿",
    G30 = "Aldrich Bay", "QC football",
    G30 = "馬鞍山游樂場", "Thomas",
    TRUE, "Barry"
)</f>
        <v>馬哲</v>
      </c>
      <c r="L30">
        <v>0</v>
      </c>
      <c r="M30">
        <v>0</v>
      </c>
      <c r="N30">
        <v>1</v>
      </c>
      <c r="O30">
        <v>0</v>
      </c>
      <c r="P30" t="str">
        <f t="shared" si="0"/>
        <v>2025-2026</v>
      </c>
    </row>
    <row r="31" spans="1:16" ht="15">
      <c r="A31" s="1">
        <v>46152</v>
      </c>
      <c r="B31" t="s">
        <v>16</v>
      </c>
      <c r="C31" t="str">
        <f>_xlfn.CONCAT(REPT($D$1,D31), REPT($F$1,E31))</f>
        <v/>
      </c>
      <c r="D31">
        <v>0</v>
      </c>
      <c r="E31">
        <v>0</v>
      </c>
      <c r="F31">
        <v>6.9</v>
      </c>
      <c r="G31" t="s">
        <v>41</v>
      </c>
      <c r="H31" s="6">
        <v>0.4375</v>
      </c>
      <c r="J31" s="3">
        <f>SUM(D31:E31)</f>
        <v>0</v>
      </c>
      <c r="K31" s="7" t="str">
        <f>_xlfn.IFS(
    AND(H31=TIME(20,0,0), G31&lt;&gt;"九龍仔", G31&lt;&gt;"曾大屋"), "馬哲",
    G31="雲景道", "梁哥",
    OR(G31 = "九龍仔", G31 = "曾大屋"), "子睿",
    G31 = "Aldrich Bay", "QC football",
    G31 = "馬鞍山游樂場", "Thomas",
    TRUE, "Barry"
)</f>
        <v>Barry</v>
      </c>
      <c r="L31">
        <v>0</v>
      </c>
      <c r="M31">
        <v>0</v>
      </c>
      <c r="N31">
        <v>0</v>
      </c>
      <c r="O31">
        <v>0</v>
      </c>
      <c r="P31" t="str">
        <f t="shared" si="0"/>
        <v>2025-2026</v>
      </c>
    </row>
    <row r="32" spans="1:16" ht="15">
      <c r="A32" s="1">
        <v>46152</v>
      </c>
      <c r="B32" t="s">
        <v>16</v>
      </c>
      <c r="C32" t="str">
        <f>_xlfn.CONCAT(REPT($D$1,D32), REPT($F$1,E32))</f>
        <v>⚽👟👟</v>
      </c>
      <c r="D32">
        <v>1</v>
      </c>
      <c r="E32">
        <v>2</v>
      </c>
      <c r="F32">
        <v>9.4</v>
      </c>
      <c r="G32" t="s">
        <v>42</v>
      </c>
      <c r="H32" s="6">
        <v>0.64583333333333337</v>
      </c>
      <c r="J32" s="3">
        <f>SUM(D32:E32)</f>
        <v>3</v>
      </c>
      <c r="K32" s="7" t="str">
        <f>_xlfn.IFS(
    AND(H32=TIME(20,0,0), G32&lt;&gt;"九龍仔", G32&lt;&gt;"曾大屋"), "馬哲",
    G32="雲景道", "梁哥",
    OR(G32 = "九龍仔", G32 = "曾大屋"), "子睿",
    G32 = "Aldrich Bay", "QC football",
    G32 = "馬鞍山游樂場", "Thomas",
    TRUE, "Barry"
)</f>
        <v>Barry</v>
      </c>
      <c r="L32">
        <v>0</v>
      </c>
      <c r="M32">
        <v>1</v>
      </c>
      <c r="N32">
        <v>0</v>
      </c>
      <c r="O32">
        <v>0</v>
      </c>
      <c r="P32" t="str">
        <f t="shared" si="0"/>
        <v>2025-2026</v>
      </c>
    </row>
    <row r="33" spans="1:16" ht="15">
      <c r="A33" s="1">
        <v>46152</v>
      </c>
      <c r="B33" t="s">
        <v>17</v>
      </c>
      <c r="C33" t="str">
        <f>_xlfn.CONCAT(REPT($D$1,D33), REPT($F$1,E33))</f>
        <v>⚽⚽👟</v>
      </c>
      <c r="D33">
        <v>2</v>
      </c>
      <c r="E33">
        <v>1</v>
      </c>
      <c r="F33">
        <v>9.6999999999999993</v>
      </c>
      <c r="G33" t="s">
        <v>42</v>
      </c>
      <c r="H33" s="6">
        <v>0.64583333333333337</v>
      </c>
      <c r="J33" s="3">
        <f>SUM(D33:E33)</f>
        <v>3</v>
      </c>
      <c r="K33" s="7" t="str">
        <f>_xlfn.IFS(
    AND(H33=TIME(20,0,0), G33&lt;&gt;"九龍仔", G33&lt;&gt;"曾大屋"), "馬哲",
    G33="雲景道", "梁哥",
    OR(G33 = "九龍仔", G33 = "曾大屋"), "子睿",
    G33 = "Aldrich Bay", "QC football",
    G33 = "馬鞍山游樂場", "Thomas",
    TRUE, "Barry"
)</f>
        <v>Barry</v>
      </c>
      <c r="L33">
        <v>0</v>
      </c>
      <c r="M33">
        <v>2</v>
      </c>
      <c r="N33">
        <v>0</v>
      </c>
      <c r="O33">
        <v>0</v>
      </c>
      <c r="P33" t="str">
        <f t="shared" si="0"/>
        <v>2025-2026</v>
      </c>
    </row>
    <row r="34" spans="1:16" ht="15">
      <c r="A34" s="1">
        <v>46138</v>
      </c>
      <c r="B34" t="s">
        <v>17</v>
      </c>
      <c r="C34" t="str">
        <f>_xlfn.CONCAT(REPT($D$1,D34), REPT($F$1,E34))</f>
        <v>⚽</v>
      </c>
      <c r="D34">
        <v>1</v>
      </c>
      <c r="E34">
        <v>0</v>
      </c>
      <c r="F34">
        <v>8.4</v>
      </c>
      <c r="G34" t="s">
        <v>41</v>
      </c>
      <c r="H34" s="6">
        <v>0.4375</v>
      </c>
      <c r="J34" s="3">
        <f>SUM(D34:E34)</f>
        <v>1</v>
      </c>
      <c r="K34" s="7" t="str">
        <f>_xlfn.IFS(
    AND(H34=TIME(20,0,0), G34&lt;&gt;"九龍仔", G34&lt;&gt;"曾大屋"), "馬哲",
    G34="雲景道", "梁哥",
    OR(G34 = "九龍仔", G34 = "曾大屋"), "子睿",
    G34 = "Aldrich Bay", "QC football",
    G34 = "馬鞍山游樂場", "Thomas",
    TRUE, "Barry"
)</f>
        <v>Barry</v>
      </c>
      <c r="L34">
        <v>0</v>
      </c>
      <c r="M34">
        <v>0</v>
      </c>
      <c r="N34">
        <v>1</v>
      </c>
      <c r="O34">
        <v>0</v>
      </c>
      <c r="P34" t="str">
        <f t="shared" si="0"/>
        <v>2025-2026</v>
      </c>
    </row>
    <row r="35" spans="1:16" ht="15">
      <c r="A35" s="1">
        <v>46138</v>
      </c>
      <c r="B35" t="s">
        <v>16</v>
      </c>
      <c r="C35" t="str">
        <f>_xlfn.CONCAT(REPT($D$1,D35), REPT($F$1,E35))</f>
        <v>⚽👟👟</v>
      </c>
      <c r="D35">
        <v>1</v>
      </c>
      <c r="E35">
        <v>2</v>
      </c>
      <c r="F35">
        <v>9.4</v>
      </c>
      <c r="G35" t="s">
        <v>41</v>
      </c>
      <c r="H35" s="6">
        <v>0.4375</v>
      </c>
      <c r="J35" s="3">
        <f>SUM(D35:E35)</f>
        <v>3</v>
      </c>
      <c r="K35" s="7" t="str">
        <f>_xlfn.IFS(
    AND(H35=TIME(20,0,0), G35&lt;&gt;"九龍仔", G35&lt;&gt;"曾大屋"), "馬哲",
    G35="雲景道", "梁哥",
    OR(G35 = "九龍仔", G35 = "曾大屋"), "子睿",
    G35 = "Aldrich Bay", "QC football",
    G35 = "馬鞍山游樂場", "Thomas",
    TRUE, "Barry"
)</f>
        <v>Barry</v>
      </c>
      <c r="L35">
        <v>0</v>
      </c>
      <c r="M35">
        <v>1</v>
      </c>
      <c r="N35">
        <v>0</v>
      </c>
      <c r="O35">
        <v>0</v>
      </c>
      <c r="P35" t="str">
        <f t="shared" si="0"/>
        <v>2025-2026</v>
      </c>
    </row>
    <row r="36" spans="1:16" ht="15">
      <c r="A36" s="1">
        <v>46131</v>
      </c>
      <c r="B36" t="s">
        <v>17</v>
      </c>
      <c r="C36" t="str">
        <f>_xlfn.CONCAT(REPT($D$1,D36), REPT($F$1,E36))</f>
        <v>⚽⚽⚽👟👟</v>
      </c>
      <c r="D36">
        <v>3</v>
      </c>
      <c r="E36">
        <v>2</v>
      </c>
      <c r="F36">
        <v>10</v>
      </c>
      <c r="G36" t="s">
        <v>39</v>
      </c>
      <c r="H36" s="6">
        <v>0.66666666666666663</v>
      </c>
      <c r="J36" s="3">
        <f>SUM(D36:E36)</f>
        <v>5</v>
      </c>
      <c r="K36" s="7" t="str">
        <f>_xlfn.IFS(
    AND(H36=TIME(20,0,0), G36&lt;&gt;"九龍仔", G36&lt;&gt;"曾大屋"), "馬哲",
    G36="雲景道", "梁哥",
    OR(G36 = "九龍仔", G36 = "曾大屋"), "子睿",
    G36 = "Aldrich Bay", "QC football",
    G36 = "馬鞍山游樂場", "Thomas",
    TRUE, "Barry"
)</f>
        <v>梁哥</v>
      </c>
      <c r="L36">
        <v>2</v>
      </c>
      <c r="M36">
        <v>1</v>
      </c>
      <c r="N36">
        <v>0</v>
      </c>
      <c r="O36">
        <v>0</v>
      </c>
      <c r="P36" t="str">
        <f t="shared" si="0"/>
        <v>2025-2026</v>
      </c>
    </row>
    <row r="37" spans="1:16" ht="15">
      <c r="A37" s="1">
        <v>46131</v>
      </c>
      <c r="B37" t="s">
        <v>16</v>
      </c>
      <c r="C37" t="str">
        <f>_xlfn.CONCAT(REPT($D$1,D37), REPT($F$1,E37))</f>
        <v>⚽⚽</v>
      </c>
      <c r="D37">
        <v>2</v>
      </c>
      <c r="E37">
        <v>0</v>
      </c>
      <c r="F37">
        <v>8.6999999999999993</v>
      </c>
      <c r="G37" t="s">
        <v>39</v>
      </c>
      <c r="H37" s="6">
        <v>0.66666666666666663</v>
      </c>
      <c r="J37" s="3">
        <f>SUM(D37:E37)</f>
        <v>2</v>
      </c>
      <c r="K37" s="7" t="str">
        <f>_xlfn.IFS(
    AND(H37=TIME(20,0,0), G37&lt;&gt;"九龍仔", G37&lt;&gt;"曾大屋"), "馬哲",
    G37="雲景道", "梁哥",
    OR(G37 = "九龍仔", G37 = "曾大屋"), "子睿",
    G37 = "Aldrich Bay", "QC football",
    G37 = "馬鞍山游樂場", "Thomas",
    TRUE, "Barry"
)</f>
        <v>梁哥</v>
      </c>
      <c r="L37">
        <v>2</v>
      </c>
      <c r="M37">
        <v>0</v>
      </c>
      <c r="N37">
        <v>0</v>
      </c>
      <c r="O37">
        <v>0</v>
      </c>
      <c r="P37" t="str">
        <f t="shared" si="0"/>
        <v>2025-2026</v>
      </c>
    </row>
    <row r="38" spans="1:16" ht="15">
      <c r="A38" s="1">
        <v>46124</v>
      </c>
      <c r="B38" t="s">
        <v>17</v>
      </c>
      <c r="C38" t="str">
        <f>_xlfn.CONCAT(REPT($D$1,D38), REPT($F$1,E38))</f>
        <v>⚽👟</v>
      </c>
      <c r="D38">
        <v>1</v>
      </c>
      <c r="E38">
        <v>1</v>
      </c>
      <c r="F38">
        <v>8.6</v>
      </c>
      <c r="G38" t="s">
        <v>43</v>
      </c>
      <c r="H38" s="6">
        <v>0.47916666666666669</v>
      </c>
      <c r="J38" s="3">
        <f>SUM(D38:E38)</f>
        <v>2</v>
      </c>
      <c r="K38" s="7" t="str">
        <f>_xlfn.IFS(
    AND(H38=TIME(20,0,0), G38&lt;&gt;"九龍仔", G38&lt;&gt;"曾大屋"), "馬哲",
    G38="雲景道", "梁哥",
    OR(G38 = "九龍仔", G38 = "曾大屋"), "子睿",
    G38 = "Aldrich Bay", "QC football",
    G38 = "馬鞍山游樂場", "Thomas",
    TRUE, "Barry"
)</f>
        <v>Barry</v>
      </c>
      <c r="L38">
        <v>0</v>
      </c>
      <c r="M38">
        <v>0</v>
      </c>
      <c r="N38">
        <v>1</v>
      </c>
      <c r="O38">
        <v>0</v>
      </c>
      <c r="P38" t="str">
        <f t="shared" si="0"/>
        <v>2025-2026</v>
      </c>
    </row>
    <row r="39" spans="1:16" ht="15">
      <c r="A39" s="1">
        <v>46124</v>
      </c>
      <c r="B39" t="s">
        <v>16</v>
      </c>
      <c r="C39" t="str">
        <f>_xlfn.CONCAT(REPT($D$1,D39), REPT($F$1,E39))</f>
        <v>⚽⚽⚽👟</v>
      </c>
      <c r="D39">
        <v>3</v>
      </c>
      <c r="E39">
        <v>1</v>
      </c>
      <c r="F39">
        <v>9.9</v>
      </c>
      <c r="G39" t="s">
        <v>43</v>
      </c>
      <c r="H39" s="6">
        <v>0.47916666666666669</v>
      </c>
      <c r="J39" s="3">
        <f>SUM(D39:E39)</f>
        <v>4</v>
      </c>
      <c r="K39" s="7" t="str">
        <f>_xlfn.IFS(
    AND(H39=TIME(20,0,0), G39&lt;&gt;"九龍仔", G39&lt;&gt;"曾大屋"), "馬哲",
    G39="雲景道", "梁哥",
    OR(G39 = "九龍仔", G39 = "曾大屋"), "子睿",
    G39 = "Aldrich Bay", "QC football",
    G39 = "馬鞍山游樂場", "Thomas",
    TRUE, "Barry"
)</f>
        <v>Barry</v>
      </c>
      <c r="L39">
        <v>0</v>
      </c>
      <c r="M39">
        <v>3</v>
      </c>
      <c r="N39">
        <v>0</v>
      </c>
      <c r="O39">
        <v>0</v>
      </c>
      <c r="P39" t="str">
        <f t="shared" si="0"/>
        <v>2025-2026</v>
      </c>
    </row>
    <row r="40" spans="1:16" ht="15">
      <c r="A40" s="1">
        <v>46119</v>
      </c>
      <c r="B40" t="s">
        <v>16</v>
      </c>
      <c r="C40" t="str">
        <f>_xlfn.CONCAT(REPT($D$1,D40), REPT($F$1,E40))</f>
        <v>⚽👟</v>
      </c>
      <c r="D40">
        <v>1</v>
      </c>
      <c r="E40">
        <v>1</v>
      </c>
      <c r="F40">
        <v>9.1</v>
      </c>
      <c r="G40" t="s">
        <v>42</v>
      </c>
      <c r="H40" s="6">
        <v>0.47916666666666669</v>
      </c>
      <c r="J40" s="3">
        <f>SUM(D40:E40)</f>
        <v>2</v>
      </c>
      <c r="K40" s="7" t="str">
        <f>_xlfn.IFS(
    AND(H40=TIME(20,0,0), G40&lt;&gt;"九龍仔", G40&lt;&gt;"曾大屋"), "馬哲",
    G40="雲景道", "梁哥",
    OR(G40 = "九龍仔", G40 = "曾大屋"), "子睿",
    G40 = "Aldrich Bay", "QC football",
    G40 = "馬鞍山游樂場", "Thomas",
    TRUE, "Barry"
)</f>
        <v>Barry</v>
      </c>
      <c r="L40">
        <v>0</v>
      </c>
      <c r="M40">
        <v>1</v>
      </c>
      <c r="N40">
        <v>0</v>
      </c>
      <c r="O40">
        <v>0</v>
      </c>
      <c r="P40" t="str">
        <f t="shared" si="0"/>
        <v>2025-2026</v>
      </c>
    </row>
    <row r="41" spans="1:16" ht="15">
      <c r="A41" s="1">
        <v>46119</v>
      </c>
      <c r="B41" t="s">
        <v>17</v>
      </c>
      <c r="C41" t="str">
        <f>_xlfn.CONCAT(REPT($D$1,D41), REPT($F$1,E41))</f>
        <v>⚽⚽⚽</v>
      </c>
      <c r="D41">
        <v>3</v>
      </c>
      <c r="E41">
        <v>0</v>
      </c>
      <c r="F41">
        <v>9.6</v>
      </c>
      <c r="G41" t="s">
        <v>42</v>
      </c>
      <c r="H41" s="6">
        <v>0.47916666666666669</v>
      </c>
      <c r="J41" s="3">
        <f>SUM(D41:E41)</f>
        <v>3</v>
      </c>
      <c r="K41" s="7" t="str">
        <f>_xlfn.IFS(
    AND(H41=TIME(20,0,0), G41&lt;&gt;"九龍仔", G41&lt;&gt;"曾大屋"), "馬哲",
    G41="雲景道", "梁哥",
    OR(G41 = "九龍仔", G41 = "曾大屋"), "子睿",
    G41 = "Aldrich Bay", "QC football",
    G41 = "馬鞍山游樂場", "Thomas",
    TRUE, "Barry"
)</f>
        <v>Barry</v>
      </c>
      <c r="L41">
        <v>0</v>
      </c>
      <c r="M41">
        <v>2</v>
      </c>
      <c r="N41">
        <v>1</v>
      </c>
      <c r="O41">
        <v>0</v>
      </c>
      <c r="P41" t="str">
        <f t="shared" si="0"/>
        <v>2025-2026</v>
      </c>
    </row>
    <row r="42" spans="1:16" ht="15">
      <c r="A42" s="1">
        <v>46113</v>
      </c>
      <c r="B42" t="s">
        <v>16</v>
      </c>
      <c r="C42" t="str">
        <f>_xlfn.CONCAT(REPT($D$1,D42), REPT($F$1,E42))</f>
        <v>⚽⚽👟👟</v>
      </c>
      <c r="D42">
        <v>2</v>
      </c>
      <c r="E42">
        <v>2</v>
      </c>
      <c r="F42">
        <v>10</v>
      </c>
      <c r="G42" t="s">
        <v>64</v>
      </c>
      <c r="H42" s="6">
        <v>0.83333333333333337</v>
      </c>
      <c r="J42" s="3">
        <f>SUM(D42:E42)</f>
        <v>4</v>
      </c>
      <c r="K42" s="7" t="str">
        <f>_xlfn.IFS(
    AND(H42=TIME(20,0,0), G42&lt;&gt;"九龍仔", G42&lt;&gt;"曾大屋"), "馬哲",
    G42="雲景道", "梁哥",
    OR(G42 = "九龍仔", G42 = "曾大屋"), "子睿",
    G42 = "Aldrich Bay", "QC football",
    G42 = "馬鞍山游樂場", "Thomas",
    TRUE, "Barry"
)</f>
        <v>馬哲</v>
      </c>
      <c r="L42">
        <v>1</v>
      </c>
      <c r="M42">
        <v>1</v>
      </c>
      <c r="N42">
        <v>0</v>
      </c>
      <c r="O42">
        <v>0</v>
      </c>
      <c r="P42" t="str">
        <f t="shared" si="0"/>
        <v>2025-2026</v>
      </c>
    </row>
    <row r="43" spans="1:16" ht="15">
      <c r="A43" s="1">
        <v>46113</v>
      </c>
      <c r="B43" t="s">
        <v>17</v>
      </c>
      <c r="C43" t="str">
        <f>_xlfn.CONCAT(REPT($D$1,D43), REPT($F$1,E43))</f>
        <v>⚽⚽⚽👟</v>
      </c>
      <c r="D43">
        <v>3</v>
      </c>
      <c r="E43">
        <v>1</v>
      </c>
      <c r="F43">
        <v>10</v>
      </c>
      <c r="G43" t="s">
        <v>64</v>
      </c>
      <c r="H43" s="6">
        <v>0.83333333333333337</v>
      </c>
      <c r="J43" s="3">
        <f>SUM(D43:E43)</f>
        <v>4</v>
      </c>
      <c r="K43" s="7" t="str">
        <f>_xlfn.IFS(
    AND(H43=TIME(20,0,0), G43&lt;&gt;"九龍仔", G43&lt;&gt;"曾大屋"), "馬哲",
    G43="雲景道", "梁哥",
    OR(G43 = "九龍仔", G43 = "曾大屋"), "子睿",
    G43 = "Aldrich Bay", "QC football",
    G43 = "馬鞍山游樂場", "Thomas",
    TRUE, "Barry"
)</f>
        <v>馬哲</v>
      </c>
      <c r="L43">
        <v>1</v>
      </c>
      <c r="M43">
        <v>2</v>
      </c>
      <c r="N43">
        <v>0</v>
      </c>
      <c r="O43">
        <v>0</v>
      </c>
      <c r="P43" t="str">
        <f t="shared" si="0"/>
        <v>2025-2026</v>
      </c>
    </row>
    <row r="44" spans="1:16" ht="15">
      <c r="A44" s="1">
        <v>46110</v>
      </c>
      <c r="B44" t="s">
        <v>16</v>
      </c>
      <c r="C44" t="str">
        <f>_xlfn.CONCAT(REPT($D$1,D44), REPT($F$1,E44))</f>
        <v>⚽⚽👟</v>
      </c>
      <c r="D44">
        <v>2</v>
      </c>
      <c r="E44">
        <v>1</v>
      </c>
      <c r="F44">
        <v>9.3000000000000007</v>
      </c>
      <c r="G44" t="s">
        <v>39</v>
      </c>
      <c r="H44" s="6">
        <v>0.66666666666666663</v>
      </c>
      <c r="J44" s="3">
        <f>SUM(D44:E44)</f>
        <v>3</v>
      </c>
      <c r="K44" s="7" t="str">
        <f>_xlfn.IFS(
    AND(H44=TIME(20,0,0), G44&lt;&gt;"九龍仔", G44&lt;&gt;"曾大屋"), "馬哲",
    G44="雲景道", "梁哥",
    OR(G44 = "九龍仔", G44 = "曾大屋"), "子睿",
    G44 = "Aldrich Bay", "QC football",
    G44 = "馬鞍山游樂場", "Thomas",
    TRUE, "Barry"
)</f>
        <v>梁哥</v>
      </c>
      <c r="L44">
        <v>0</v>
      </c>
      <c r="M44">
        <v>2</v>
      </c>
      <c r="N44">
        <v>0</v>
      </c>
      <c r="O44">
        <v>0</v>
      </c>
      <c r="P44" t="str">
        <f t="shared" si="0"/>
        <v>2025-2026</v>
      </c>
    </row>
    <row r="45" spans="1:16" ht="15">
      <c r="A45" s="1">
        <v>46110</v>
      </c>
      <c r="B45" t="s">
        <v>17</v>
      </c>
      <c r="C45" t="str">
        <f>_xlfn.CONCAT(REPT($D$1,D45), REPT($F$1,E45))</f>
        <v>⚽⚽⚽👟👟</v>
      </c>
      <c r="D45">
        <v>3</v>
      </c>
      <c r="E45">
        <v>2</v>
      </c>
      <c r="F45">
        <v>10</v>
      </c>
      <c r="G45" t="s">
        <v>39</v>
      </c>
      <c r="H45" s="6">
        <v>0.66666666666666663</v>
      </c>
      <c r="J45" s="3">
        <f>SUM(D45:E45)</f>
        <v>5</v>
      </c>
      <c r="K45" s="7" t="str">
        <f>_xlfn.IFS(
    AND(H45=TIME(20,0,0), G45&lt;&gt;"九龍仔", G45&lt;&gt;"曾大屋"), "馬哲",
    G45="雲景道", "梁哥",
    OR(G45 = "九龍仔", G45 = "曾大屋"), "子睿",
    G45 = "Aldrich Bay", "QC football",
    G45 = "馬鞍山游樂場", "Thomas",
    TRUE, "Barry"
)</f>
        <v>梁哥</v>
      </c>
      <c r="L45">
        <v>0</v>
      </c>
      <c r="M45">
        <v>2</v>
      </c>
      <c r="N45">
        <v>1</v>
      </c>
      <c r="O45">
        <v>0</v>
      </c>
      <c r="P45" t="str">
        <f t="shared" si="0"/>
        <v>2025-2026</v>
      </c>
    </row>
    <row r="46" spans="1:16" ht="15">
      <c r="A46" s="1">
        <v>46109</v>
      </c>
      <c r="B46" t="s">
        <v>16</v>
      </c>
      <c r="C46" t="str">
        <f>_xlfn.CONCAT(REPT($D$1,D46), REPT($F$1,E46))</f>
        <v>⚽👟</v>
      </c>
      <c r="D46">
        <v>1</v>
      </c>
      <c r="E46">
        <v>1</v>
      </c>
      <c r="F46">
        <v>8.6</v>
      </c>
      <c r="G46" t="s">
        <v>65</v>
      </c>
      <c r="H46" s="6">
        <v>0.60416666666666663</v>
      </c>
      <c r="J46" s="3">
        <f>SUM(D46:E46)</f>
        <v>2</v>
      </c>
      <c r="K46" s="7" t="str">
        <f>_xlfn.IFS(
    AND(H46=TIME(20,0,0), G46&lt;&gt;"九龍仔", G46&lt;&gt;"曾大屋"), "馬哲",
    G46="雲景道", "梁哥",
    OR(G46 = "九龍仔", G46 = "曾大屋"), "子睿",
    G46 = "Aldrich Bay", "QC football",
    G46 = "馬鞍山游樂場", "Thomas",
    TRUE, "Barry"
)</f>
        <v>Barry</v>
      </c>
      <c r="L46">
        <v>0</v>
      </c>
      <c r="M46">
        <v>0</v>
      </c>
      <c r="N46">
        <v>1</v>
      </c>
      <c r="O46">
        <v>0</v>
      </c>
      <c r="P46" t="str">
        <f t="shared" si="0"/>
        <v>2025-2026</v>
      </c>
    </row>
    <row r="47" spans="1:16" ht="15">
      <c r="A47" s="1">
        <v>46107</v>
      </c>
      <c r="B47" t="s">
        <v>17</v>
      </c>
      <c r="C47" t="str">
        <f>_xlfn.CONCAT(REPT($D$1,D47), REPT($F$1,E47))</f>
        <v>⚽👟</v>
      </c>
      <c r="D47">
        <v>1</v>
      </c>
      <c r="E47">
        <v>1</v>
      </c>
      <c r="F47">
        <v>8.5</v>
      </c>
      <c r="G47" t="s">
        <v>40</v>
      </c>
      <c r="H47" s="6">
        <v>0.83333333333333337</v>
      </c>
      <c r="J47" s="3">
        <f>SUM(D47:E47)</f>
        <v>2</v>
      </c>
      <c r="K47" s="7" t="str">
        <f>_xlfn.IFS(
    AND(H47=TIME(20,0,0), G47&lt;&gt;"九龍仔", G47&lt;&gt;"曾大屋"), "馬哲",
    G47="雲景道", "梁哥",
    OR(G47 = "九龍仔", G47 = "曾大屋"), "子睿",
    G47 = "Aldrich Bay", "QC football",
    G47 = "馬鞍山游樂場", "Thomas",
    TRUE, "Barry"
)</f>
        <v>馬哲</v>
      </c>
      <c r="L47">
        <v>0</v>
      </c>
      <c r="M47">
        <v>1</v>
      </c>
      <c r="N47">
        <v>0</v>
      </c>
      <c r="O47">
        <v>0</v>
      </c>
      <c r="P47" t="str">
        <f t="shared" si="0"/>
        <v>2025-2026</v>
      </c>
    </row>
    <row r="48" spans="1:16" ht="15">
      <c r="A48" s="1">
        <v>46103</v>
      </c>
      <c r="B48" t="s">
        <v>16</v>
      </c>
      <c r="C48" t="str">
        <f>_xlfn.CONCAT(REPT($D$1,D48), REPT($F$1,E48))</f>
        <v>⚽⚽👟👟👟👟👟👟</v>
      </c>
      <c r="D48">
        <v>2</v>
      </c>
      <c r="E48">
        <v>6</v>
      </c>
      <c r="F48">
        <v>10</v>
      </c>
      <c r="G48" t="s">
        <v>39</v>
      </c>
      <c r="H48" s="6">
        <v>0.66666666666666663</v>
      </c>
      <c r="J48" s="3">
        <f>SUM(D48:E48)</f>
        <v>8</v>
      </c>
      <c r="K48" s="7" t="str">
        <f>_xlfn.IFS(
    AND(H48=TIME(20,0,0), G48&lt;&gt;"九龍仔", G48&lt;&gt;"曾大屋"), "馬哲",
    G48="雲景道", "梁哥",
    OR(G48 = "九龍仔", G48 = "曾大屋"), "子睿",
    G48 = "Aldrich Bay", "QC football",
    G48 = "馬鞍山游樂場", "Thomas",
    TRUE, "Barry"
)</f>
        <v>梁哥</v>
      </c>
      <c r="L48">
        <v>1</v>
      </c>
      <c r="M48">
        <v>1</v>
      </c>
      <c r="N48">
        <v>0</v>
      </c>
      <c r="O48">
        <v>0</v>
      </c>
      <c r="P48" t="str">
        <f t="shared" si="0"/>
        <v>2025-2026</v>
      </c>
    </row>
    <row r="49" spans="1:16" ht="15">
      <c r="A49" s="1">
        <v>46103</v>
      </c>
      <c r="B49" t="s">
        <v>17</v>
      </c>
      <c r="C49" t="str">
        <f>_xlfn.CONCAT(REPT($D$1,D49), REPT($F$1,E49))</f>
        <v>⚽⚽⚽👟</v>
      </c>
      <c r="D49">
        <v>3</v>
      </c>
      <c r="E49">
        <v>1</v>
      </c>
      <c r="F49">
        <v>9.8000000000000007</v>
      </c>
      <c r="G49" t="s">
        <v>39</v>
      </c>
      <c r="H49" s="6">
        <v>0.66666666666666663</v>
      </c>
      <c r="J49" s="3">
        <f>SUM(D49:E49)</f>
        <v>4</v>
      </c>
      <c r="K49" s="7" t="str">
        <f>_xlfn.IFS(
    AND(H49=TIME(20,0,0), G49&lt;&gt;"九龍仔", G49&lt;&gt;"曾大屋"), "馬哲",
    G49="雲景道", "梁哥",
    OR(G49 = "九龍仔", G49 = "曾大屋"), "子睿",
    G49 = "Aldrich Bay", "QC football",
    G49 = "馬鞍山游樂場", "Thomas",
    TRUE, "Barry"
)</f>
        <v>梁哥</v>
      </c>
      <c r="L49">
        <v>0</v>
      </c>
      <c r="M49">
        <v>2</v>
      </c>
      <c r="N49">
        <v>1</v>
      </c>
      <c r="O49">
        <v>0</v>
      </c>
      <c r="P49" t="str">
        <f t="shared" si="0"/>
        <v>2025-2026</v>
      </c>
    </row>
    <row r="50" spans="1:16" ht="15">
      <c r="A50" s="1">
        <v>46097</v>
      </c>
      <c r="B50" t="s">
        <v>16</v>
      </c>
      <c r="C50" t="str">
        <f>_xlfn.CONCAT(REPT($D$1,D50), REPT($F$1,E50))</f>
        <v>👟</v>
      </c>
      <c r="D50">
        <v>0</v>
      </c>
      <c r="E50">
        <v>1</v>
      </c>
      <c r="F50">
        <v>7.3</v>
      </c>
      <c r="G50" t="s">
        <v>40</v>
      </c>
      <c r="H50" s="6">
        <v>0.83333333333333337</v>
      </c>
      <c r="I50" s="3">
        <v>1</v>
      </c>
      <c r="J50" s="3">
        <f>SUM(D50:E50)</f>
        <v>1</v>
      </c>
      <c r="K50" s="7" t="str">
        <f>_xlfn.IFS(
    AND(H50=TIME(20,0,0), G50&lt;&gt;"九龍仔", G50&lt;&gt;"曾大屋"), "馬哲",
    G50="雲景道", "梁哥",
    OR(G50 = "九龍仔", G50 = "曾大屋"), "子睿",
    G50 = "Aldrich Bay", "QC football",
    G50 = "馬鞍山游樂場", "Thomas",
    TRUE, "Barry"
)</f>
        <v>馬哲</v>
      </c>
      <c r="L50">
        <v>0</v>
      </c>
      <c r="M50">
        <v>0</v>
      </c>
      <c r="N50">
        <v>0</v>
      </c>
      <c r="O50">
        <v>0</v>
      </c>
      <c r="P50" t="str">
        <f t="shared" si="0"/>
        <v>2025-2026</v>
      </c>
    </row>
    <row r="51" spans="1:16" ht="15">
      <c r="A51" s="1">
        <v>46097</v>
      </c>
      <c r="B51" t="s">
        <v>17</v>
      </c>
      <c r="C51" t="str">
        <f>_xlfn.CONCAT(REPT($D$1,D51), REPT($F$1,E51))</f>
        <v>⚽👟</v>
      </c>
      <c r="D51">
        <v>1</v>
      </c>
      <c r="E51">
        <v>1</v>
      </c>
      <c r="F51">
        <v>8.6999999999999993</v>
      </c>
      <c r="G51" t="s">
        <v>40</v>
      </c>
      <c r="H51" s="6">
        <v>0.83333333333333337</v>
      </c>
      <c r="J51" s="3">
        <f>SUM(D51:E51)</f>
        <v>2</v>
      </c>
      <c r="K51" s="7" t="str">
        <f>_xlfn.IFS(
    AND(H51=TIME(20,0,0), G51&lt;&gt;"九龍仔", G51&lt;&gt;"曾大屋"), "馬哲",
    G51="雲景道", "梁哥",
    OR(G51 = "九龍仔", G51 = "曾大屋"), "子睿",
    G51 = "Aldrich Bay", "QC football",
    G51 = "馬鞍山游樂場", "Thomas",
    TRUE, "Barry"
)</f>
        <v>馬哲</v>
      </c>
      <c r="L51">
        <v>0</v>
      </c>
      <c r="M51">
        <v>0</v>
      </c>
      <c r="N51">
        <v>1</v>
      </c>
      <c r="O51">
        <v>0</v>
      </c>
      <c r="P51" t="str">
        <f t="shared" si="0"/>
        <v>2025-2026</v>
      </c>
    </row>
    <row r="52" spans="1:16" ht="15">
      <c r="A52" s="1">
        <v>46095</v>
      </c>
      <c r="B52" t="s">
        <v>16</v>
      </c>
      <c r="C52" t="str">
        <f>_xlfn.CONCAT(REPT($D$1,D52), REPT($F$1,E52))</f>
        <v>⚽⚽⚽👟👟</v>
      </c>
      <c r="D52">
        <v>3</v>
      </c>
      <c r="E52">
        <v>2</v>
      </c>
      <c r="F52">
        <v>10</v>
      </c>
      <c r="G52" t="s">
        <v>42</v>
      </c>
      <c r="H52" s="6">
        <v>0.47916666666666669</v>
      </c>
      <c r="J52" s="3">
        <f>SUM(D52:E52)</f>
        <v>5</v>
      </c>
      <c r="K52" s="7" t="str">
        <f>_xlfn.IFS(
    AND(H52=TIME(20,0,0), G52&lt;&gt;"九龍仔", G52&lt;&gt;"曾大屋"), "馬哲",
    G52="雲景道", "梁哥",
    OR(G52 = "九龍仔", G52 = "曾大屋"), "子睿",
    G52 = "Aldrich Bay", "QC football",
    G52 = "馬鞍山游樂場", "Thomas",
    TRUE, "Barry"
)</f>
        <v>Barry</v>
      </c>
      <c r="L52">
        <v>2</v>
      </c>
      <c r="M52">
        <v>1</v>
      </c>
      <c r="N52">
        <v>0</v>
      </c>
      <c r="O52">
        <v>0</v>
      </c>
      <c r="P52" t="str">
        <f t="shared" si="0"/>
        <v>2025-2026</v>
      </c>
    </row>
    <row r="53" spans="1:16" ht="15">
      <c r="A53" s="1">
        <v>46095</v>
      </c>
      <c r="B53" t="s">
        <v>17</v>
      </c>
      <c r="C53" t="str">
        <f>_xlfn.CONCAT(REPT($D$1,D53), REPT($F$1,E53))</f>
        <v>⚽⚽⚽👟👟👟</v>
      </c>
      <c r="D53">
        <v>3</v>
      </c>
      <c r="E53">
        <v>3</v>
      </c>
      <c r="F53">
        <v>10</v>
      </c>
      <c r="G53" t="s">
        <v>42</v>
      </c>
      <c r="H53" s="6">
        <v>0.47916666666666669</v>
      </c>
      <c r="J53" s="3">
        <f>SUM(D53:E53)</f>
        <v>6</v>
      </c>
      <c r="K53" s="7" t="str">
        <f>_xlfn.IFS(
    AND(H53=TIME(20,0,0), G53&lt;&gt;"九龍仔", G53&lt;&gt;"曾大屋"), "馬哲",
    G53="雲景道", "梁哥",
    OR(G53 = "九龍仔", G53 = "曾大屋"), "子睿",
    G53 = "Aldrich Bay", "QC football",
    G53 = "馬鞍山游樂場", "Thomas",
    TRUE, "Barry"
)</f>
        <v>Barry</v>
      </c>
      <c r="L53">
        <v>1</v>
      </c>
      <c r="M53">
        <v>2</v>
      </c>
      <c r="N53">
        <v>0</v>
      </c>
      <c r="O53">
        <v>0</v>
      </c>
      <c r="P53" t="str">
        <f t="shared" si="0"/>
        <v>2025-2026</v>
      </c>
    </row>
    <row r="54" spans="1:16" ht="15">
      <c r="A54" s="1">
        <v>46090</v>
      </c>
      <c r="B54" t="s">
        <v>16</v>
      </c>
      <c r="C54" t="str">
        <f>_xlfn.CONCAT(REPT($D$1,D54), REPT($F$1,E54))</f>
        <v>⚽⚽⚽</v>
      </c>
      <c r="D54">
        <v>3</v>
      </c>
      <c r="E54">
        <v>0</v>
      </c>
      <c r="F54">
        <v>9.6</v>
      </c>
      <c r="G54" t="s">
        <v>66</v>
      </c>
      <c r="H54" s="6">
        <v>0.83333333333333337</v>
      </c>
      <c r="J54" s="3">
        <f>SUM(D54:E54)</f>
        <v>3</v>
      </c>
      <c r="K54" s="7" t="str">
        <f>_xlfn.IFS(
    AND(H54=TIME(20,0,0), G54&lt;&gt;"九龍仔", G54&lt;&gt;"曾大屋"), "馬哲",
    G54="雲景道", "梁哥",
    OR(G54 = "九龍仔", G54 = "曾大屋"), "子睿",
    G54 = "Aldrich Bay", "QC football",
    G54 = "馬鞍山游樂場", "Thomas",
    TRUE, "Barry"
)</f>
        <v>馬哲</v>
      </c>
      <c r="L54">
        <v>1</v>
      </c>
      <c r="M54">
        <v>1</v>
      </c>
      <c r="N54">
        <v>1</v>
      </c>
      <c r="O54">
        <v>0</v>
      </c>
      <c r="P54" t="str">
        <f t="shared" si="0"/>
        <v>2025-2026</v>
      </c>
    </row>
    <row r="55" spans="1:16" ht="15">
      <c r="A55" s="1">
        <v>46090</v>
      </c>
      <c r="B55" t="s">
        <v>17</v>
      </c>
      <c r="C55" t="str">
        <f>_xlfn.CONCAT(REPT($D$1,D55), REPT($F$1,E55))</f>
        <v>⚽⚽⚽👟</v>
      </c>
      <c r="D55">
        <v>3</v>
      </c>
      <c r="E55">
        <v>1</v>
      </c>
      <c r="F55">
        <v>9.8000000000000007</v>
      </c>
      <c r="G55" t="s">
        <v>66</v>
      </c>
      <c r="H55" s="6">
        <v>0.83333333333333337</v>
      </c>
      <c r="J55" s="3">
        <f>SUM(D55:E55)</f>
        <v>4</v>
      </c>
      <c r="K55" s="7" t="str">
        <f>_xlfn.IFS(
    AND(H55=TIME(20,0,0), G55&lt;&gt;"九龍仔", G55&lt;&gt;"曾大屋"), "馬哲",
    G55="雲景道", "梁哥",
    OR(G55 = "九龍仔", G55 = "曾大屋"), "子睿",
    G55 = "Aldrich Bay", "QC football",
    G55 = "馬鞍山游樂場", "Thomas",
    TRUE, "Barry"
)</f>
        <v>馬哲</v>
      </c>
      <c r="L55">
        <v>1</v>
      </c>
      <c r="M55">
        <v>2</v>
      </c>
      <c r="N55">
        <v>0</v>
      </c>
      <c r="O55">
        <v>0</v>
      </c>
      <c r="P55" t="str">
        <f t="shared" si="0"/>
        <v>2025-2026</v>
      </c>
    </row>
    <row r="56" spans="1:16" ht="15">
      <c r="A56" s="1">
        <v>46089</v>
      </c>
      <c r="B56" t="s">
        <v>16</v>
      </c>
      <c r="C56" t="str">
        <f>_xlfn.CONCAT(REPT($D$1,D56), REPT($F$1,E56))</f>
        <v>⚽⚽⚽👟</v>
      </c>
      <c r="D56">
        <v>3</v>
      </c>
      <c r="E56">
        <v>1</v>
      </c>
      <c r="F56">
        <v>9.6999999999999993</v>
      </c>
      <c r="G56" t="s">
        <v>39</v>
      </c>
      <c r="H56" s="6">
        <v>0.66666666666666663</v>
      </c>
      <c r="J56" s="3">
        <f>SUM(D56:E56)</f>
        <v>4</v>
      </c>
      <c r="K56" s="7" t="str">
        <f>_xlfn.IFS(
    AND(H56=TIME(20,0,0), G56&lt;&gt;"九龍仔", G56&lt;&gt;"曾大屋"), "馬哲",
    G56="雲景道", "梁哥",
    OR(G56 = "九龍仔", G56 = "曾大屋"), "子睿",
    G56 = "Aldrich Bay", "QC football",
    G56 = "馬鞍山游樂場", "Thomas",
    TRUE, "Barry"
)</f>
        <v>梁哥</v>
      </c>
      <c r="L56">
        <v>0</v>
      </c>
      <c r="M56">
        <v>3</v>
      </c>
      <c r="N56">
        <v>0</v>
      </c>
      <c r="O56">
        <v>0</v>
      </c>
      <c r="P56" t="str">
        <f t="shared" si="0"/>
        <v>2025-2026</v>
      </c>
    </row>
    <row r="57" spans="1:16" ht="15">
      <c r="A57" s="1">
        <v>46089</v>
      </c>
      <c r="B57" t="s">
        <v>17</v>
      </c>
      <c r="C57" t="str">
        <f>_xlfn.CONCAT(REPT($D$1,D57), REPT($F$1,E57))</f>
        <v>⚽⚽⚽👟</v>
      </c>
      <c r="D57">
        <v>3</v>
      </c>
      <c r="E57">
        <v>1</v>
      </c>
      <c r="F57">
        <v>9.6999999999999993</v>
      </c>
      <c r="G57" t="s">
        <v>39</v>
      </c>
      <c r="H57" s="6">
        <v>0.66666666666666663</v>
      </c>
      <c r="J57" s="3">
        <f>SUM(D57:E57)</f>
        <v>4</v>
      </c>
      <c r="K57" s="7" t="str">
        <f>_xlfn.IFS(
    AND(H57=TIME(20,0,0), G57&lt;&gt;"九龍仔", G57&lt;&gt;"曾大屋"), "馬哲",
    G57="雲景道", "梁哥",
    OR(G57 = "九龍仔", G57 = "曾大屋"), "子睿",
    G57 = "Aldrich Bay", "QC football",
    G57 = "馬鞍山游樂場", "Thomas",
    TRUE, "Barry"
)</f>
        <v>梁哥</v>
      </c>
      <c r="L57">
        <v>0</v>
      </c>
      <c r="M57">
        <v>3</v>
      </c>
      <c r="N57">
        <v>0</v>
      </c>
      <c r="O57">
        <v>0</v>
      </c>
      <c r="P57" t="str">
        <f t="shared" si="0"/>
        <v>2025-2026</v>
      </c>
    </row>
    <row r="58" spans="1:16" ht="15">
      <c r="A58" s="1">
        <v>46082</v>
      </c>
      <c r="B58" t="s">
        <v>16</v>
      </c>
      <c r="C58" t="str">
        <f>_xlfn.CONCAT(REPT($D$1,D58), REPT($F$1,E58))</f>
        <v>⚽⚽⚽👟👟👟👟👟</v>
      </c>
      <c r="D58">
        <v>3</v>
      </c>
      <c r="E58">
        <v>5</v>
      </c>
      <c r="F58">
        <v>10</v>
      </c>
      <c r="G58" t="s">
        <v>39</v>
      </c>
      <c r="H58" s="6">
        <v>0.66666666666666663</v>
      </c>
      <c r="J58" s="3">
        <f>SUM(D58:E58)</f>
        <v>8</v>
      </c>
      <c r="K58" s="7" t="str">
        <f>_xlfn.IFS(
    AND(H58=TIME(20,0,0), G58&lt;&gt;"九龍仔", G58&lt;&gt;"曾大屋"), "馬哲",
    G58="雲景道", "梁哥",
    OR(G58 = "九龍仔", G58 = "曾大屋"), "子睿",
    G58 = "Aldrich Bay", "QC football",
    G58 = "馬鞍山游樂場", "Thomas",
    TRUE, "Barry"
)</f>
        <v>梁哥</v>
      </c>
      <c r="L58">
        <v>1</v>
      </c>
      <c r="M58">
        <v>2</v>
      </c>
      <c r="N58">
        <v>0</v>
      </c>
      <c r="O58">
        <v>0</v>
      </c>
      <c r="P58" t="str">
        <f t="shared" si="0"/>
        <v>2025-2026</v>
      </c>
    </row>
    <row r="59" spans="1:16" ht="15">
      <c r="A59" s="1">
        <v>46082</v>
      </c>
      <c r="B59" t="s">
        <v>17</v>
      </c>
      <c r="C59" t="str">
        <f>_xlfn.CONCAT(REPT($D$1,D59), REPT($F$1,E59))</f>
        <v>⚽⚽⚽⚽⚽👟</v>
      </c>
      <c r="D59">
        <v>5</v>
      </c>
      <c r="E59">
        <v>1</v>
      </c>
      <c r="F59">
        <v>10</v>
      </c>
      <c r="G59" t="s">
        <v>39</v>
      </c>
      <c r="H59" s="6">
        <v>0.66666666666666663</v>
      </c>
      <c r="J59" s="3">
        <f>SUM(D59:E59)</f>
        <v>6</v>
      </c>
      <c r="K59" s="7" t="str">
        <f>_xlfn.IFS(
    AND(H59=TIME(20,0,0), G59&lt;&gt;"九龍仔", G59&lt;&gt;"曾大屋"), "馬哲",
    G59="雲景道", "梁哥",
    OR(G59 = "九龍仔", G59 = "曾大屋"), "子睿",
    G59 = "Aldrich Bay", "QC football",
    G59 = "馬鞍山游樂場", "Thomas",
    TRUE, "Barry"
)</f>
        <v>梁哥</v>
      </c>
      <c r="L59">
        <v>0</v>
      </c>
      <c r="M59">
        <v>4</v>
      </c>
      <c r="N59">
        <v>1</v>
      </c>
      <c r="O59">
        <v>0</v>
      </c>
      <c r="P59" t="str">
        <f t="shared" si="0"/>
        <v>2025-2026</v>
      </c>
    </row>
    <row r="60" spans="1:16" ht="15">
      <c r="A60" s="1">
        <v>46075</v>
      </c>
      <c r="B60" t="s">
        <v>16</v>
      </c>
      <c r="C60" t="str">
        <f>_xlfn.CONCAT(REPT($D$1,D60), REPT($F$1,E60))</f>
        <v>⚽👟</v>
      </c>
      <c r="D60">
        <v>1</v>
      </c>
      <c r="E60">
        <v>1</v>
      </c>
      <c r="F60">
        <v>8.6999999999999993</v>
      </c>
      <c r="G60" t="s">
        <v>67</v>
      </c>
      <c r="H60" s="6">
        <v>0.41666666666666669</v>
      </c>
      <c r="J60" s="3">
        <f>SUM(D60:E60)</f>
        <v>2</v>
      </c>
      <c r="K60" s="7" t="str">
        <f>_xlfn.IFS(
    AND(H60=TIME(20,0,0), G60&lt;&gt;"九龍仔", G60&lt;&gt;"曾大屋"), "馬哲",
    G60="雲景道", "梁哥",
    OR(G60 = "九龍仔", G60 = "曾大屋"), "子睿",
    G60 = "Aldrich Bay", "QC football",
    G60 = "馬鞍山游樂場", "Thomas",
    TRUE, "Barry"
)</f>
        <v>Barry</v>
      </c>
      <c r="L60">
        <v>0</v>
      </c>
      <c r="M60">
        <v>1</v>
      </c>
      <c r="N60">
        <v>0</v>
      </c>
      <c r="O60">
        <v>0</v>
      </c>
      <c r="P60" t="str">
        <f t="shared" si="0"/>
        <v>2025-2026</v>
      </c>
    </row>
    <row r="61" spans="1:16" ht="15">
      <c r="A61" s="1">
        <v>46075</v>
      </c>
      <c r="B61" t="s">
        <v>17</v>
      </c>
      <c r="C61" t="str">
        <f>_xlfn.CONCAT(REPT($D$1,D61), REPT($F$1,E61))</f>
        <v/>
      </c>
      <c r="D61">
        <v>0</v>
      </c>
      <c r="E61">
        <v>0</v>
      </c>
      <c r="F61">
        <v>7.1</v>
      </c>
      <c r="G61" t="s">
        <v>67</v>
      </c>
      <c r="H61" s="6">
        <v>0.41666666666666669</v>
      </c>
      <c r="J61" s="3">
        <f>SUM(D61:E61)</f>
        <v>0</v>
      </c>
      <c r="K61" s="7" t="str">
        <f>_xlfn.IFS(
    AND(H61=TIME(20,0,0), G61&lt;&gt;"九龍仔", G61&lt;&gt;"曾大屋"), "馬哲",
    G61="雲景道", "梁哥",
    OR(G61 = "九龍仔", G61 = "曾大屋"), "子睿",
    G61 = "Aldrich Bay", "QC football",
    G61 = "馬鞍山游樂場", "Thomas",
    TRUE, "Barry"
)</f>
        <v>Barry</v>
      </c>
      <c r="L61">
        <v>0</v>
      </c>
      <c r="M61">
        <v>0</v>
      </c>
      <c r="N61">
        <v>0</v>
      </c>
      <c r="O61">
        <v>0</v>
      </c>
      <c r="P61" t="str">
        <f t="shared" si="0"/>
        <v>2025-2026</v>
      </c>
    </row>
    <row r="62" spans="1:16" ht="15">
      <c r="A62" s="1">
        <v>46072</v>
      </c>
      <c r="B62" t="s">
        <v>16</v>
      </c>
      <c r="C62" t="str">
        <f>_xlfn.CONCAT(REPT($D$1,D62), REPT($F$1,E62))</f>
        <v>⚽👟</v>
      </c>
      <c r="D62">
        <v>1</v>
      </c>
      <c r="E62">
        <v>1</v>
      </c>
      <c r="F62">
        <v>8.4</v>
      </c>
      <c r="G62" t="s">
        <v>42</v>
      </c>
      <c r="H62" s="6">
        <v>0.47916666666666669</v>
      </c>
      <c r="J62" s="3">
        <f>SUM(D62:E62)</f>
        <v>2</v>
      </c>
      <c r="K62" s="7" t="str">
        <f>_xlfn.IFS(
    AND(H62=TIME(20,0,0), G62&lt;&gt;"九龍仔", G62&lt;&gt;"曾大屋"), "馬哲",
    G62="雲景道", "梁哥",
    OR(G62 = "九龍仔", G62 = "曾大屋"), "子睿",
    G62 = "Aldrich Bay", "QC football",
    G62 = "馬鞍山游樂場", "Thomas",
    TRUE, "Barry"
)</f>
        <v>Barry</v>
      </c>
      <c r="L62">
        <v>0</v>
      </c>
      <c r="M62">
        <v>1</v>
      </c>
      <c r="N62">
        <v>0</v>
      </c>
      <c r="O62">
        <v>0</v>
      </c>
      <c r="P62" t="str">
        <f t="shared" si="0"/>
        <v>2025-2026</v>
      </c>
    </row>
    <row r="63" spans="1:16" ht="15">
      <c r="A63" s="1">
        <v>46072</v>
      </c>
      <c r="B63" t="s">
        <v>17</v>
      </c>
      <c r="C63" t="str">
        <f>_xlfn.CONCAT(REPT($D$1,D63), REPT($F$1,E63))</f>
        <v>⚽⚽</v>
      </c>
      <c r="D63">
        <v>2</v>
      </c>
      <c r="E63">
        <v>0</v>
      </c>
      <c r="F63">
        <v>8.4</v>
      </c>
      <c r="G63" t="s">
        <v>42</v>
      </c>
      <c r="H63" s="6">
        <v>0.47916666666666669</v>
      </c>
      <c r="J63" s="3">
        <f>SUM(D63:E63)</f>
        <v>2</v>
      </c>
      <c r="K63" s="7" t="str">
        <f>_xlfn.IFS(
    AND(H63=TIME(20,0,0), G63&lt;&gt;"九龍仔", G63&lt;&gt;"曾大屋"), "馬哲",
    G63="雲景道", "梁哥",
    OR(G63 = "九龍仔", G63 = "曾大屋"), "子睿",
    G63 = "Aldrich Bay", "QC football",
    G63 = "馬鞍山游樂場", "Thomas",
    TRUE, "Barry"
)</f>
        <v>Barry</v>
      </c>
      <c r="L63">
        <v>0</v>
      </c>
      <c r="M63">
        <v>2</v>
      </c>
      <c r="N63">
        <v>0</v>
      </c>
      <c r="O63">
        <v>0</v>
      </c>
      <c r="P63" t="str">
        <f t="shared" si="0"/>
        <v>2025-2026</v>
      </c>
    </row>
    <row r="64" spans="1:16" ht="15">
      <c r="A64" s="1">
        <v>46068</v>
      </c>
      <c r="B64" t="s">
        <v>16</v>
      </c>
      <c r="C64" t="str">
        <f>_xlfn.CONCAT(REPT($D$1,D64), REPT($F$1,E64))</f>
        <v>⚽👟👟</v>
      </c>
      <c r="D64">
        <v>1</v>
      </c>
      <c r="E64">
        <v>2</v>
      </c>
      <c r="F64">
        <v>9.9</v>
      </c>
      <c r="G64" t="s">
        <v>42</v>
      </c>
      <c r="H64" s="6">
        <v>0.47916666666666669</v>
      </c>
      <c r="J64" s="3">
        <f>SUM(D64:E64)</f>
        <v>3</v>
      </c>
      <c r="K64" s="7" t="str">
        <f>_xlfn.IFS(
    AND(H64=TIME(20,0,0), G64&lt;&gt;"九龍仔", G64&lt;&gt;"曾大屋"), "馬哲",
    G64="雲景道", "梁哥",
    OR(G64 = "九龍仔", G64 = "曾大屋"), "子睿",
    G64 = "Aldrich Bay", "QC football",
    G64 = "馬鞍山游樂場", "Thomas",
    TRUE, "Barry"
)</f>
        <v>Barry</v>
      </c>
      <c r="L64">
        <v>1</v>
      </c>
      <c r="M64">
        <v>0</v>
      </c>
      <c r="N64">
        <v>0</v>
      </c>
      <c r="O64">
        <v>0</v>
      </c>
      <c r="P64" t="str">
        <f t="shared" si="0"/>
        <v>2025-2026</v>
      </c>
    </row>
    <row r="65" spans="1:16" ht="15">
      <c r="A65" s="1">
        <v>46068</v>
      </c>
      <c r="B65" t="s">
        <v>17</v>
      </c>
      <c r="C65" t="str">
        <f>_xlfn.CONCAT(REPT($D$1,D65), REPT($F$1,E65))</f>
        <v>⚽⚽👟👟👟</v>
      </c>
      <c r="D65">
        <v>2</v>
      </c>
      <c r="E65">
        <v>3</v>
      </c>
      <c r="F65">
        <v>10</v>
      </c>
      <c r="G65" t="s">
        <v>42</v>
      </c>
      <c r="H65" s="6">
        <v>0.47916666666666669</v>
      </c>
      <c r="J65" s="3">
        <f>SUM(D65:E65)</f>
        <v>5</v>
      </c>
      <c r="K65" s="7" t="str">
        <f>_xlfn.IFS(
    AND(H65=TIME(20,0,0), G65&lt;&gt;"九龍仔", G65&lt;&gt;"曾大屋"), "馬哲",
    G65="雲景道", "梁哥",
    OR(G65 = "九龍仔", G65 = "曾大屋"), "子睿",
    G65 = "Aldrich Bay", "QC football",
    G65 = "馬鞍山游樂場", "Thomas",
    TRUE, "Barry"
)</f>
        <v>Barry</v>
      </c>
      <c r="L65">
        <v>0</v>
      </c>
      <c r="M65">
        <v>1</v>
      </c>
      <c r="N65">
        <v>1</v>
      </c>
      <c r="O65">
        <v>0</v>
      </c>
      <c r="P65" t="str">
        <f t="shared" si="0"/>
        <v>2025-2026</v>
      </c>
    </row>
    <row r="66" spans="1:16" ht="15">
      <c r="A66" s="1">
        <v>46068</v>
      </c>
      <c r="B66" t="s">
        <v>16</v>
      </c>
      <c r="C66" t="str">
        <f>_xlfn.CONCAT(REPT($D$1,D66), REPT($F$1,E66))</f>
        <v>👟</v>
      </c>
      <c r="D66">
        <v>0</v>
      </c>
      <c r="E66">
        <v>1</v>
      </c>
      <c r="F66">
        <v>7.8</v>
      </c>
      <c r="G66" t="s">
        <v>41</v>
      </c>
      <c r="H66" s="6">
        <v>0.4375</v>
      </c>
      <c r="J66" s="3">
        <f>SUM(D66:E66)</f>
        <v>1</v>
      </c>
      <c r="K66" s="7" t="str">
        <f>_xlfn.IFS(
    AND(H66=TIME(20,0,0), G66&lt;&gt;"九龍仔", G66&lt;&gt;"曾大屋"), "馬哲",
    G66="雲景道", "梁哥",
    OR(G66 = "九龍仔", G66 = "曾大屋"), "子睿",
    G66 = "Aldrich Bay", "QC football",
    G66 = "馬鞍山游樂場", "Thomas",
    TRUE, "Barry"
)</f>
        <v>Barry</v>
      </c>
      <c r="L66">
        <v>0</v>
      </c>
      <c r="M66">
        <v>0</v>
      </c>
      <c r="N66">
        <v>0</v>
      </c>
      <c r="O66">
        <v>0</v>
      </c>
      <c r="P66" t="str">
        <f t="shared" si="0"/>
        <v>2025-2026</v>
      </c>
    </row>
    <row r="67" spans="1:16" ht="15">
      <c r="A67" s="1">
        <v>46057</v>
      </c>
      <c r="B67" t="s">
        <v>16</v>
      </c>
      <c r="C67" t="str">
        <f>_xlfn.CONCAT(REPT($D$1,D67), REPT($F$1,E67))</f>
        <v>⚽👟👟👟👟</v>
      </c>
      <c r="D67">
        <v>1</v>
      </c>
      <c r="E67">
        <v>4</v>
      </c>
      <c r="F67">
        <v>10</v>
      </c>
      <c r="G67" t="s">
        <v>40</v>
      </c>
      <c r="H67" s="6">
        <v>0.83333333333333337</v>
      </c>
      <c r="J67" s="3">
        <f>SUM(D67:E67)</f>
        <v>5</v>
      </c>
      <c r="K67" s="7" t="str">
        <f>_xlfn.IFS(
    AND(H67=TIME(20,0,0), G67&lt;&gt;"九龍仔", G67&lt;&gt;"曾大屋"), "馬哲",
    G67="雲景道", "梁哥",
    OR(G67 = "九龍仔", G67 = "曾大屋"), "子睿",
    G67 = "Aldrich Bay", "QC football",
    G67 = "馬鞍山游樂場", "Thomas",
    TRUE, "Barry"
)</f>
        <v>馬哲</v>
      </c>
      <c r="L67">
        <v>1</v>
      </c>
      <c r="M67">
        <v>0</v>
      </c>
      <c r="N67">
        <v>0</v>
      </c>
      <c r="O67">
        <v>0</v>
      </c>
      <c r="P67" t="str">
        <f t="shared" si="0"/>
        <v>2025-2026</v>
      </c>
    </row>
    <row r="68" spans="1:16" ht="15">
      <c r="A68" s="1">
        <v>46057</v>
      </c>
      <c r="B68" t="s">
        <v>17</v>
      </c>
      <c r="C68" t="str">
        <f>_xlfn.CONCAT(REPT($D$1,D68), REPT($F$1,E68))</f>
        <v>⚽⚽⚽⚽⚽⚽⚽👟👟</v>
      </c>
      <c r="D68">
        <v>7</v>
      </c>
      <c r="E68">
        <v>2</v>
      </c>
      <c r="F68">
        <v>10</v>
      </c>
      <c r="G68" t="s">
        <v>40</v>
      </c>
      <c r="H68" s="6">
        <v>0.83333333333333337</v>
      </c>
      <c r="J68" s="3">
        <f>SUM(D68:E68)</f>
        <v>9</v>
      </c>
      <c r="K68" s="7" t="str">
        <f>_xlfn.IFS(
    AND(H68=TIME(20,0,0), G68&lt;&gt;"九龍仔", G68&lt;&gt;"曾大屋"), "馬哲",
    G68="雲景道", "梁哥",
    OR(G68 = "九龍仔", G68 = "曾大屋"), "子睿",
    G68 = "Aldrich Bay", "QC football",
    G68 = "馬鞍山游樂場", "Thomas",
    TRUE, "Barry"
)</f>
        <v>馬哲</v>
      </c>
      <c r="L68">
        <v>1</v>
      </c>
      <c r="M68">
        <v>6</v>
      </c>
      <c r="N68">
        <v>0</v>
      </c>
      <c r="O68">
        <v>0</v>
      </c>
      <c r="P68" t="str">
        <f t="shared" ref="P68:P131" si="1">IF(A68="","", (YEAR(A68)-IF(MONTH(A68)&lt;8,1,0)) &amp; "-" &amp; (YEAR(A68)+IF(MONTH(A68)&gt;=8,1,0)))</f>
        <v>2025-2026</v>
      </c>
    </row>
    <row r="69" spans="1:16" ht="15">
      <c r="A69" s="1">
        <v>46054</v>
      </c>
      <c r="B69" t="s">
        <v>16</v>
      </c>
      <c r="C69" t="str">
        <f>_xlfn.CONCAT(REPT($D$1,D69), REPT($F$1,E69))</f>
        <v>⚽⚽</v>
      </c>
      <c r="D69">
        <v>2</v>
      </c>
      <c r="E69">
        <v>0</v>
      </c>
      <c r="F69">
        <v>8.1999999999999993</v>
      </c>
      <c r="G69" t="s">
        <v>58</v>
      </c>
      <c r="H69" s="6">
        <v>0.47916666666666669</v>
      </c>
      <c r="J69" s="3">
        <f>SUM(D69:E69)</f>
        <v>2</v>
      </c>
      <c r="K69" s="7" t="str">
        <f>_xlfn.IFS(
    AND(H69=TIME(20,0,0), G69&lt;&gt;"九龍仔", G69&lt;&gt;"曾大屋"), "馬哲",
    G69="雲景道", "梁哥",
    OR(G69 = "九龍仔", G69 = "曾大屋"), "子睿",
    G69 = "Aldrich Bay", "QC football",
    G69 = "馬鞍山游樂場", "Thomas",
    TRUE, "Barry"
)</f>
        <v>Barry</v>
      </c>
      <c r="L69">
        <v>0</v>
      </c>
      <c r="M69">
        <v>2</v>
      </c>
      <c r="N69">
        <v>0</v>
      </c>
      <c r="O69">
        <v>0</v>
      </c>
      <c r="P69" t="str">
        <f t="shared" si="1"/>
        <v>2025-2026</v>
      </c>
    </row>
    <row r="70" spans="1:16" ht="15">
      <c r="A70" s="1">
        <v>46054</v>
      </c>
      <c r="B70" t="s">
        <v>17</v>
      </c>
      <c r="C70" t="str">
        <f>_xlfn.CONCAT(REPT($D$1,D70), REPT($F$1,E70))</f>
        <v>⚽⚽</v>
      </c>
      <c r="D70">
        <v>2</v>
      </c>
      <c r="E70">
        <v>0</v>
      </c>
      <c r="F70">
        <v>8.1999999999999993</v>
      </c>
      <c r="G70" t="s">
        <v>58</v>
      </c>
      <c r="H70" s="6">
        <v>0.47916666666666669</v>
      </c>
      <c r="J70" s="3">
        <f>SUM(D70:E70)</f>
        <v>2</v>
      </c>
      <c r="K70" s="7" t="str">
        <f>_xlfn.IFS(
    AND(H70=TIME(20,0,0), G70&lt;&gt;"九龍仔", G70&lt;&gt;"曾大屋"), "馬哲",
    G70="雲景道", "梁哥",
    OR(G70 = "九龍仔", G70 = "曾大屋"), "子睿",
    G70 = "Aldrich Bay", "QC football",
    G70 = "馬鞍山游樂場", "Thomas",
    TRUE, "Barry"
)</f>
        <v>Barry</v>
      </c>
      <c r="L70">
        <v>1</v>
      </c>
      <c r="M70">
        <v>1</v>
      </c>
      <c r="N70">
        <v>0</v>
      </c>
      <c r="O70">
        <v>0</v>
      </c>
      <c r="P70" t="str">
        <f t="shared" si="1"/>
        <v>2025-2026</v>
      </c>
    </row>
    <row r="71" spans="1:16" ht="15">
      <c r="A71" s="1">
        <v>46049</v>
      </c>
      <c r="B71" t="s">
        <v>16</v>
      </c>
      <c r="C71" t="str">
        <f>_xlfn.CONCAT(REPT($D$1,D71), REPT($F$1,E71))</f>
        <v>⚽👟</v>
      </c>
      <c r="D71">
        <v>1</v>
      </c>
      <c r="E71">
        <v>1</v>
      </c>
      <c r="F71">
        <v>9.1</v>
      </c>
      <c r="G71" t="s">
        <v>64</v>
      </c>
      <c r="H71" s="6">
        <v>0.83333333333333337</v>
      </c>
      <c r="J71" s="3">
        <f>SUM(D71:E71)</f>
        <v>2</v>
      </c>
      <c r="K71" s="7" t="str">
        <f>_xlfn.IFS(
    AND(H71=TIME(20,0,0), G71&lt;&gt;"九龍仔", G71&lt;&gt;"曾大屋"), "馬哲",
    G71="雲景道", "梁哥",
    OR(G71 = "九龍仔", G71 = "曾大屋"), "子睿",
    G71 = "Aldrich Bay", "QC football",
    G71 = "馬鞍山游樂場", "Thomas",
    TRUE, "Barry"
)</f>
        <v>馬哲</v>
      </c>
      <c r="L71">
        <v>0</v>
      </c>
      <c r="M71">
        <v>1</v>
      </c>
      <c r="N71">
        <v>0</v>
      </c>
      <c r="O71">
        <v>0</v>
      </c>
      <c r="P71" t="str">
        <f t="shared" si="1"/>
        <v>2025-2026</v>
      </c>
    </row>
    <row r="72" spans="1:16" ht="15">
      <c r="A72" s="1">
        <v>46049</v>
      </c>
      <c r="B72" t="s">
        <v>17</v>
      </c>
      <c r="C72" t="str">
        <f>_xlfn.CONCAT(REPT($D$1,D72), REPT($F$1,E72))</f>
        <v>⚽⚽⚽👟</v>
      </c>
      <c r="D72">
        <v>3</v>
      </c>
      <c r="E72">
        <v>1</v>
      </c>
      <c r="F72">
        <v>10</v>
      </c>
      <c r="G72" t="s">
        <v>64</v>
      </c>
      <c r="H72" s="6">
        <v>0.83333333333333337</v>
      </c>
      <c r="J72" s="3">
        <f>SUM(D72:E72)</f>
        <v>4</v>
      </c>
      <c r="K72" s="7" t="str">
        <f>_xlfn.IFS(
    AND(H72=TIME(20,0,0), G72&lt;&gt;"九龍仔", G72&lt;&gt;"曾大屋"), "馬哲",
    G72="雲景道", "梁哥",
    OR(G72 = "九龍仔", G72 = "曾大屋"), "子睿",
    G72 = "Aldrich Bay", "QC football",
    G72 = "馬鞍山游樂場", "Thomas",
    TRUE, "Barry"
)</f>
        <v>馬哲</v>
      </c>
      <c r="L72">
        <v>0</v>
      </c>
      <c r="M72">
        <v>3</v>
      </c>
      <c r="N72">
        <v>0</v>
      </c>
      <c r="O72">
        <v>0</v>
      </c>
      <c r="P72" t="str">
        <f t="shared" si="1"/>
        <v>2025-2026</v>
      </c>
    </row>
    <row r="73" spans="1:16" ht="15">
      <c r="A73" s="1">
        <v>46047</v>
      </c>
      <c r="B73" t="s">
        <v>16</v>
      </c>
      <c r="C73" t="str">
        <f>_xlfn.CONCAT(REPT($D$1,D73), REPT($F$1,E73))</f>
        <v>⚽</v>
      </c>
      <c r="D73">
        <v>1</v>
      </c>
      <c r="E73">
        <v>0</v>
      </c>
      <c r="F73">
        <v>7.9</v>
      </c>
      <c r="G73" t="s">
        <v>41</v>
      </c>
      <c r="H73" s="6">
        <v>0.4375</v>
      </c>
      <c r="J73" s="3">
        <f>SUM(D73:E73)</f>
        <v>1</v>
      </c>
      <c r="K73" s="7" t="str">
        <f>_xlfn.IFS(
    AND(H73=TIME(20,0,0), G73&lt;&gt;"九龍仔", G73&lt;&gt;"曾大屋"), "馬哲",
    G73="雲景道", "梁哥",
    OR(G73 = "九龍仔", G73 = "曾大屋"), "子睿",
    G73 = "Aldrich Bay", "QC football",
    G73 = "馬鞍山游樂場", "Thomas",
    TRUE, "Barry"
)</f>
        <v>Barry</v>
      </c>
      <c r="L73">
        <v>0</v>
      </c>
      <c r="M73">
        <v>1</v>
      </c>
      <c r="N73">
        <v>0</v>
      </c>
      <c r="O73">
        <v>0</v>
      </c>
      <c r="P73" t="str">
        <f t="shared" si="1"/>
        <v>2025-2026</v>
      </c>
    </row>
    <row r="74" spans="1:16" ht="15">
      <c r="A74" s="1">
        <v>46039</v>
      </c>
      <c r="B74" t="s">
        <v>16</v>
      </c>
      <c r="C74" t="str">
        <f>_xlfn.CONCAT(REPT($D$1,D74), REPT($F$1,E74))</f>
        <v>⚽👟</v>
      </c>
      <c r="D74">
        <v>1</v>
      </c>
      <c r="E74">
        <v>1</v>
      </c>
      <c r="F74">
        <v>9.1999999999999993</v>
      </c>
      <c r="G74" t="s">
        <v>61</v>
      </c>
      <c r="H74" s="6">
        <v>0.44791666666666669</v>
      </c>
      <c r="J74" s="3">
        <f>SUM(D74:E74)</f>
        <v>2</v>
      </c>
      <c r="K74" s="7" t="str">
        <f>_xlfn.IFS(
    AND(H74=TIME(20,0,0), G74&lt;&gt;"九龍仔", G74&lt;&gt;"曾大屋"), "馬哲",
    G74="雲景道", "梁哥",
    OR(G74 = "九龍仔", G74 = "曾大屋"), "子睿",
    G74 = "Aldrich Bay", "QC football",
    G74 = "馬鞍山游樂場", "Thomas",
    TRUE, "Barry"
)</f>
        <v>Barry</v>
      </c>
      <c r="L74">
        <v>1</v>
      </c>
      <c r="M74">
        <v>0</v>
      </c>
      <c r="N74">
        <v>0</v>
      </c>
      <c r="O74">
        <v>0</v>
      </c>
      <c r="P74" t="str">
        <f t="shared" si="1"/>
        <v>2025-2026</v>
      </c>
    </row>
    <row r="75" spans="1:16" ht="15">
      <c r="A75" s="1">
        <v>46039</v>
      </c>
      <c r="B75" t="s">
        <v>17</v>
      </c>
      <c r="C75" t="str">
        <f>_xlfn.CONCAT(REPT($D$1,D75), REPT($F$1,E75))</f>
        <v>⚽⚽</v>
      </c>
      <c r="D75">
        <v>2</v>
      </c>
      <c r="E75">
        <v>0</v>
      </c>
      <c r="F75">
        <v>8.8000000000000007</v>
      </c>
      <c r="G75" t="s">
        <v>61</v>
      </c>
      <c r="H75" s="6">
        <v>0.44791666666666669</v>
      </c>
      <c r="J75" s="3">
        <f>SUM(D75:E75)</f>
        <v>2</v>
      </c>
      <c r="K75" s="7" t="str">
        <f>_xlfn.IFS(
    AND(H75=TIME(20,0,0), G75&lt;&gt;"九龍仔", G75&lt;&gt;"曾大屋"), "馬哲",
    G75="雲景道", "梁哥",
    OR(G75 = "九龍仔", G75 = "曾大屋"), "子睿",
    G75 = "Aldrich Bay", "QC football",
    G75 = "馬鞍山游樂場", "Thomas",
    TRUE, "Barry"
)</f>
        <v>Barry</v>
      </c>
      <c r="L75">
        <v>1</v>
      </c>
      <c r="M75">
        <v>1</v>
      </c>
      <c r="N75">
        <v>0</v>
      </c>
      <c r="O75">
        <v>0</v>
      </c>
      <c r="P75" t="str">
        <f t="shared" si="1"/>
        <v>2025-2026</v>
      </c>
    </row>
    <row r="76" spans="1:16" ht="15">
      <c r="A76" s="1">
        <v>46036</v>
      </c>
      <c r="B76" t="s">
        <v>16</v>
      </c>
      <c r="C76" t="str">
        <f>_xlfn.CONCAT(REPT($D$1,D76), REPT($F$1,E76))</f>
        <v>⚽⚽👟👟👟👟👟</v>
      </c>
      <c r="D76">
        <v>2</v>
      </c>
      <c r="E76">
        <v>5</v>
      </c>
      <c r="F76">
        <v>10</v>
      </c>
      <c r="G76" t="s">
        <v>64</v>
      </c>
      <c r="H76" s="6">
        <v>0.83333333333333337</v>
      </c>
      <c r="J76" s="3">
        <f>SUM(D76:E76)</f>
        <v>7</v>
      </c>
      <c r="K76" s="7" t="str">
        <f>_xlfn.IFS(
    AND(H76=TIME(20,0,0), G76&lt;&gt;"九龍仔", G76&lt;&gt;"曾大屋"), "馬哲",
    G76="雲景道", "梁哥",
    OR(G76 = "九龍仔", G76 = "曾大屋"), "子睿",
    G76 = "Aldrich Bay", "QC football",
    G76 = "馬鞍山游樂場", "Thomas",
    TRUE, "Barry"
)</f>
        <v>馬哲</v>
      </c>
      <c r="L76">
        <v>0</v>
      </c>
      <c r="M76">
        <v>2</v>
      </c>
      <c r="N76">
        <v>0</v>
      </c>
      <c r="O76">
        <v>0</v>
      </c>
      <c r="P76" t="str">
        <f t="shared" si="1"/>
        <v>2025-2026</v>
      </c>
    </row>
    <row r="77" spans="1:16" ht="15">
      <c r="A77" s="1">
        <v>46036</v>
      </c>
      <c r="B77" t="s">
        <v>17</v>
      </c>
      <c r="C77" t="str">
        <f>_xlfn.CONCAT(REPT($D$1,D77), REPT($F$1,E77))</f>
        <v>⚽⚽👟👟</v>
      </c>
      <c r="D77">
        <v>2</v>
      </c>
      <c r="E77">
        <v>2</v>
      </c>
      <c r="F77">
        <v>9.8000000000000007</v>
      </c>
      <c r="G77" t="s">
        <v>64</v>
      </c>
      <c r="H77" s="6">
        <v>0.83333333333333337</v>
      </c>
      <c r="J77" s="3">
        <f>SUM(D77:E77)</f>
        <v>4</v>
      </c>
      <c r="K77" s="7" t="str">
        <f>_xlfn.IFS(
    AND(H77=TIME(20,0,0), G77&lt;&gt;"九龍仔", G77&lt;&gt;"曾大屋"), "馬哲",
    G77="雲景道", "梁哥",
    OR(G77 = "九龍仔", G77 = "曾大屋"), "子睿",
    G77 = "Aldrich Bay", "QC football",
    G77 = "馬鞍山游樂場", "Thomas",
    TRUE, "Barry"
)</f>
        <v>馬哲</v>
      </c>
      <c r="L77">
        <v>0</v>
      </c>
      <c r="M77">
        <v>0</v>
      </c>
      <c r="N77">
        <v>2</v>
      </c>
      <c r="O77">
        <v>0</v>
      </c>
      <c r="P77" t="str">
        <f t="shared" si="1"/>
        <v>2025-2026</v>
      </c>
    </row>
    <row r="78" spans="1:16" ht="15">
      <c r="A78" s="1">
        <v>46033</v>
      </c>
      <c r="B78" t="s">
        <v>16</v>
      </c>
      <c r="C78" t="str">
        <f>_xlfn.CONCAT(REPT($D$1,D78), REPT($F$1,E78))</f>
        <v>⚽</v>
      </c>
      <c r="D78">
        <v>1</v>
      </c>
      <c r="E78">
        <v>0</v>
      </c>
      <c r="F78">
        <v>7.6</v>
      </c>
      <c r="G78" t="s">
        <v>39</v>
      </c>
      <c r="H78" s="6">
        <v>0.66666666666666663</v>
      </c>
      <c r="J78" s="3">
        <f>SUM(D78:E78)</f>
        <v>1</v>
      </c>
      <c r="K78" s="7" t="str">
        <f>_xlfn.IFS(
    AND(H78=TIME(20,0,0), G78&lt;&gt;"九龍仔", G78&lt;&gt;"曾大屋"), "馬哲",
    G78="雲景道", "梁哥",
    OR(G78 = "九龍仔", G78 = "曾大屋"), "子睿",
    G78 = "Aldrich Bay", "QC football",
    G78 = "馬鞍山游樂場", "Thomas",
    TRUE, "Barry"
)</f>
        <v>梁哥</v>
      </c>
      <c r="L78">
        <v>0</v>
      </c>
      <c r="M78">
        <v>1</v>
      </c>
      <c r="N78">
        <v>0</v>
      </c>
      <c r="O78">
        <v>0</v>
      </c>
      <c r="P78" t="str">
        <f t="shared" si="1"/>
        <v>2025-2026</v>
      </c>
    </row>
    <row r="79" spans="1:16" ht="15">
      <c r="A79" s="1">
        <v>46033</v>
      </c>
      <c r="B79" t="s">
        <v>17</v>
      </c>
      <c r="C79" t="str">
        <f>_xlfn.CONCAT(REPT($D$1,D79), REPT($F$1,E79))</f>
        <v>👟</v>
      </c>
      <c r="D79">
        <v>0</v>
      </c>
      <c r="E79">
        <v>1</v>
      </c>
      <c r="F79">
        <v>7.6</v>
      </c>
      <c r="G79" t="s">
        <v>39</v>
      </c>
      <c r="H79" s="6">
        <v>0.66666666666666663</v>
      </c>
      <c r="J79" s="3">
        <f>SUM(D79:E79)</f>
        <v>1</v>
      </c>
      <c r="K79" s="7" t="str">
        <f>_xlfn.IFS(
    AND(H79=TIME(20,0,0), G79&lt;&gt;"九龍仔", G79&lt;&gt;"曾大屋"), "馬哲",
    G79="雲景道", "梁哥",
    OR(G79 = "九龍仔", G79 = "曾大屋"), "子睿",
    G79 = "Aldrich Bay", "QC football",
    G79 = "馬鞍山游樂場", "Thomas",
    TRUE, "Barry"
)</f>
        <v>梁哥</v>
      </c>
      <c r="L79">
        <v>0</v>
      </c>
      <c r="M79">
        <v>0</v>
      </c>
      <c r="N79">
        <v>0</v>
      </c>
      <c r="O79">
        <v>0</v>
      </c>
      <c r="P79" t="str">
        <f t="shared" si="1"/>
        <v>2025-2026</v>
      </c>
    </row>
    <row r="80" spans="1:16" ht="15">
      <c r="A80" s="1">
        <v>46032</v>
      </c>
      <c r="B80" t="s">
        <v>16</v>
      </c>
      <c r="C80" t="str">
        <f>_xlfn.CONCAT(REPT($D$1,D80), REPT($F$1,E80))</f>
        <v/>
      </c>
      <c r="D80">
        <v>0</v>
      </c>
      <c r="E80">
        <v>0</v>
      </c>
      <c r="F80">
        <v>7.4</v>
      </c>
      <c r="G80" t="s">
        <v>40</v>
      </c>
      <c r="H80" s="6">
        <v>0.47916666666666669</v>
      </c>
      <c r="J80" s="3">
        <f>SUM(D80:E80)</f>
        <v>0</v>
      </c>
      <c r="K80" s="7" t="str">
        <f>_xlfn.IFS(
    AND(H80=TIME(20,0,0), G80&lt;&gt;"九龍仔", G80&lt;&gt;"曾大屋"), "馬哲",
    G80="雲景道", "梁哥",
    OR(G80 = "九龍仔", G80 = "曾大屋"), "子睿",
    G80 = "Aldrich Bay", "QC football",
    G80 = "馬鞍山游樂場", "Thomas",
    TRUE, "Barry"
)</f>
        <v>Barry</v>
      </c>
      <c r="L80">
        <v>0</v>
      </c>
      <c r="M80">
        <v>0</v>
      </c>
      <c r="N80">
        <v>0</v>
      </c>
      <c r="O80">
        <v>0</v>
      </c>
      <c r="P80" t="str">
        <f t="shared" si="1"/>
        <v>2025-2026</v>
      </c>
    </row>
    <row r="81" spans="1:16" ht="15">
      <c r="A81" s="1">
        <v>46032</v>
      </c>
      <c r="B81" t="s">
        <v>17</v>
      </c>
      <c r="C81" t="str">
        <f>_xlfn.CONCAT(REPT($D$1,D81), REPT($F$1,E81))</f>
        <v>⚽</v>
      </c>
      <c r="D81">
        <v>1</v>
      </c>
      <c r="E81">
        <v>0</v>
      </c>
      <c r="F81">
        <v>7.3</v>
      </c>
      <c r="G81" t="s">
        <v>40</v>
      </c>
      <c r="H81" s="6">
        <v>0.47916666666666669</v>
      </c>
      <c r="J81" s="3">
        <f>SUM(D81:E81)</f>
        <v>1</v>
      </c>
      <c r="K81" s="7" t="str">
        <f>_xlfn.IFS(
    AND(H81=TIME(20,0,0), G81&lt;&gt;"九龍仔", G81&lt;&gt;"曾大屋"), "馬哲",
    G81="雲景道", "梁哥",
    OR(G81 = "九龍仔", G81 = "曾大屋"), "子睿",
    G81 = "Aldrich Bay", "QC football",
    G81 = "馬鞍山游樂場", "Thomas",
    TRUE, "Barry"
)</f>
        <v>Barry</v>
      </c>
      <c r="L81">
        <v>0</v>
      </c>
      <c r="M81">
        <v>1</v>
      </c>
      <c r="N81">
        <v>0</v>
      </c>
      <c r="O81">
        <v>0</v>
      </c>
      <c r="P81" t="str">
        <f t="shared" si="1"/>
        <v>2025-2026</v>
      </c>
    </row>
    <row r="82" spans="1:16" ht="15">
      <c r="A82" s="1">
        <v>46026</v>
      </c>
      <c r="B82" t="s">
        <v>16</v>
      </c>
      <c r="C82" t="str">
        <f>_xlfn.CONCAT(REPT($D$1,D82), REPT($F$1,E82))</f>
        <v>⚽</v>
      </c>
      <c r="D82">
        <v>1</v>
      </c>
      <c r="E82">
        <v>0</v>
      </c>
      <c r="F82">
        <v>7.7</v>
      </c>
      <c r="G82" t="s">
        <v>39</v>
      </c>
      <c r="H82" s="6">
        <v>0.66666666666666663</v>
      </c>
      <c r="J82" s="3">
        <f>SUM(D82:E82)</f>
        <v>1</v>
      </c>
      <c r="K82" s="7" t="str">
        <f>_xlfn.IFS(
    AND(H82=TIME(20,0,0), G82&lt;&gt;"九龍仔", G82&lt;&gt;"曾大屋"), "馬哲",
    G82="雲景道", "梁哥",
    OR(G82 = "九龍仔", G82 = "曾大屋"), "子睿",
    G82 = "Aldrich Bay", "QC football",
    G82 = "馬鞍山游樂場", "Thomas",
    TRUE, "Barry"
)</f>
        <v>梁哥</v>
      </c>
      <c r="L82">
        <v>0</v>
      </c>
      <c r="M82">
        <v>1</v>
      </c>
      <c r="N82">
        <v>0</v>
      </c>
      <c r="O82">
        <v>0</v>
      </c>
      <c r="P82" t="str">
        <f t="shared" si="1"/>
        <v>2025-2026</v>
      </c>
    </row>
    <row r="83" spans="1:16" ht="15">
      <c r="A83" s="1">
        <v>46026</v>
      </c>
      <c r="B83" t="s">
        <v>17</v>
      </c>
      <c r="C83" t="str">
        <f>_xlfn.CONCAT(REPT($D$1,D83), REPT($F$1,E83))</f>
        <v>⚽👟</v>
      </c>
      <c r="D83">
        <v>1</v>
      </c>
      <c r="E83">
        <v>1</v>
      </c>
      <c r="F83">
        <v>8.4</v>
      </c>
      <c r="G83" t="s">
        <v>39</v>
      </c>
      <c r="H83" s="6">
        <v>0.66666666666666663</v>
      </c>
      <c r="J83" s="3">
        <f>SUM(D83:E83)</f>
        <v>2</v>
      </c>
      <c r="K83" s="7" t="str">
        <f>_xlfn.IFS(
    AND(H83=TIME(20,0,0), G83&lt;&gt;"九龍仔", G83&lt;&gt;"曾大屋"), "馬哲",
    G83="雲景道", "梁哥",
    OR(G83 = "九龍仔", G83 = "曾大屋"), "子睿",
    G83 = "Aldrich Bay", "QC football",
    G83 = "馬鞍山游樂場", "Thomas",
    TRUE, "Barry"
)</f>
        <v>梁哥</v>
      </c>
      <c r="L83">
        <v>0</v>
      </c>
      <c r="M83">
        <v>0</v>
      </c>
      <c r="N83">
        <v>1</v>
      </c>
      <c r="O83">
        <v>0</v>
      </c>
      <c r="P83" t="str">
        <f t="shared" si="1"/>
        <v>2025-2026</v>
      </c>
    </row>
    <row r="84" spans="1:16" ht="15">
      <c r="A84" s="1">
        <v>46023</v>
      </c>
      <c r="B84" t="s">
        <v>16</v>
      </c>
      <c r="C84" t="str">
        <f>_xlfn.CONCAT(REPT($D$1,D84), REPT($F$1,E84))</f>
        <v>⚽👟👟👟</v>
      </c>
      <c r="D84">
        <v>1</v>
      </c>
      <c r="E84">
        <v>3</v>
      </c>
      <c r="F84">
        <v>9.9</v>
      </c>
      <c r="G84" t="s">
        <v>39</v>
      </c>
      <c r="H84" s="6">
        <v>0.66666666666666663</v>
      </c>
      <c r="J84" s="3">
        <f>SUM(D84:E84)</f>
        <v>4</v>
      </c>
      <c r="K84" s="7" t="str">
        <f>_xlfn.IFS(
    AND(H84=TIME(20,0,0), G84&lt;&gt;"九龍仔", G84&lt;&gt;"曾大屋"), "馬哲",
    G84="雲景道", "梁哥",
    OR(G84 = "九龍仔", G84 = "曾大屋"), "子睿",
    G84 = "Aldrich Bay", "QC football",
    G84 = "馬鞍山游樂場", "Thomas",
    TRUE, "Barry"
)</f>
        <v>梁哥</v>
      </c>
      <c r="L84">
        <v>1</v>
      </c>
      <c r="M84">
        <v>0</v>
      </c>
      <c r="N84">
        <v>0</v>
      </c>
      <c r="O84">
        <v>0</v>
      </c>
      <c r="P84" t="str">
        <f t="shared" si="1"/>
        <v>2025-2026</v>
      </c>
    </row>
    <row r="85" spans="1:16" ht="15">
      <c r="A85" s="1">
        <v>46023</v>
      </c>
      <c r="B85" t="s">
        <v>16</v>
      </c>
      <c r="C85" t="str">
        <f>_xlfn.CONCAT(REPT($D$1,D85), REPT($F$1,E85))</f>
        <v/>
      </c>
      <c r="D85">
        <v>0</v>
      </c>
      <c r="E85">
        <v>0</v>
      </c>
      <c r="F85">
        <v>7.4</v>
      </c>
      <c r="G85" t="s">
        <v>61</v>
      </c>
      <c r="H85" s="6">
        <v>0.44791666666666669</v>
      </c>
      <c r="J85" s="3">
        <f>SUM(D85:E85)</f>
        <v>0</v>
      </c>
      <c r="K85" s="7" t="str">
        <f>_xlfn.IFS(
    AND(H85=TIME(20,0,0), G85&lt;&gt;"九龍仔", G85&lt;&gt;"曾大屋"), "馬哲",
    G85="雲景道", "梁哥",
    OR(G85 = "九龍仔", G85 = "曾大屋"), "子睿",
    G85 = "Aldrich Bay", "QC football",
    G85 = "馬鞍山游樂場", "Thomas",
    TRUE, "Barry"
)</f>
        <v>Barry</v>
      </c>
      <c r="L85">
        <v>0</v>
      </c>
      <c r="M85">
        <v>0</v>
      </c>
      <c r="N85">
        <v>0</v>
      </c>
      <c r="O85">
        <v>0</v>
      </c>
      <c r="P85" t="str">
        <f t="shared" si="1"/>
        <v>2025-2026</v>
      </c>
    </row>
    <row r="86" spans="1:16" ht="15">
      <c r="A86" s="1">
        <v>46023</v>
      </c>
      <c r="B86" t="s">
        <v>17</v>
      </c>
      <c r="C86" t="str">
        <f>_xlfn.CONCAT(REPT($D$1,D86), REPT($F$1,E86))</f>
        <v>⚽⚽⚽⚽👟</v>
      </c>
      <c r="D86">
        <v>4</v>
      </c>
      <c r="E86">
        <v>1</v>
      </c>
      <c r="F86">
        <v>10</v>
      </c>
      <c r="G86" t="s">
        <v>61</v>
      </c>
      <c r="H86" s="6">
        <v>0.44791666666666669</v>
      </c>
      <c r="J86" s="3">
        <f>SUM(D86:E86)</f>
        <v>5</v>
      </c>
      <c r="K86" s="7" t="str">
        <f>_xlfn.IFS(
    AND(H86=TIME(20,0,0), G86&lt;&gt;"九龍仔", G86&lt;&gt;"曾大屋"), "馬哲",
    G86="雲景道", "梁哥",
    OR(G86 = "九龍仔", G86 = "曾大屋"), "子睿",
    G86 = "Aldrich Bay", "QC football",
    G86 = "馬鞍山游樂場", "Thomas",
    TRUE, "Barry"
)</f>
        <v>Barry</v>
      </c>
      <c r="L86">
        <v>1</v>
      </c>
      <c r="M86">
        <v>3</v>
      </c>
      <c r="N86">
        <v>0</v>
      </c>
      <c r="O86">
        <v>0</v>
      </c>
      <c r="P86" t="str">
        <f t="shared" si="1"/>
        <v>2025-2026</v>
      </c>
    </row>
    <row r="87" spans="1:16" ht="15">
      <c r="A87" s="1">
        <v>46012</v>
      </c>
      <c r="B87" t="s">
        <v>16</v>
      </c>
      <c r="C87" t="str">
        <f>_xlfn.CONCAT(REPT($D$1,D87), REPT($F$1,E87))</f>
        <v>⚽⚽👟</v>
      </c>
      <c r="D87">
        <v>2</v>
      </c>
      <c r="E87">
        <v>1</v>
      </c>
      <c r="F87">
        <v>9.4</v>
      </c>
      <c r="G87" t="s">
        <v>41</v>
      </c>
      <c r="H87" s="6">
        <v>0.4375</v>
      </c>
      <c r="J87" s="3">
        <f>SUM(D87:E87)</f>
        <v>3</v>
      </c>
      <c r="K87" s="7" t="str">
        <f>_xlfn.IFS(
    AND(H87=TIME(20,0,0), G87&lt;&gt;"九龍仔", G87&lt;&gt;"曾大屋"), "馬哲",
    G87="雲景道", "梁哥",
    OR(G87 = "九龍仔", G87 = "曾大屋"), "子睿",
    G87 = "Aldrich Bay", "QC football",
    G87 = "馬鞍山游樂場", "Thomas",
    TRUE, "Barry"
)</f>
        <v>Barry</v>
      </c>
      <c r="L87">
        <v>0</v>
      </c>
      <c r="M87">
        <v>2</v>
      </c>
      <c r="N87">
        <v>0</v>
      </c>
      <c r="O87">
        <v>0</v>
      </c>
      <c r="P87" t="str">
        <f t="shared" si="1"/>
        <v>2025-2026</v>
      </c>
    </row>
    <row r="88" spans="1:16" ht="15">
      <c r="A88" s="1">
        <v>46012</v>
      </c>
      <c r="B88" t="s">
        <v>17</v>
      </c>
      <c r="C88" t="str">
        <f>_xlfn.CONCAT(REPT($D$1,D88), REPT($F$1,E88))</f>
        <v>⚽👟</v>
      </c>
      <c r="D88">
        <v>1</v>
      </c>
      <c r="E88">
        <v>1</v>
      </c>
      <c r="F88">
        <v>8.4</v>
      </c>
      <c r="G88" t="s">
        <v>41</v>
      </c>
      <c r="H88" s="6">
        <v>0.4375</v>
      </c>
      <c r="J88" s="3">
        <f>SUM(D88:E88)</f>
        <v>2</v>
      </c>
      <c r="K88" s="7" t="str">
        <f>_xlfn.IFS(
    AND(H88=TIME(20,0,0), G88&lt;&gt;"九龍仔", G88&lt;&gt;"曾大屋"), "馬哲",
    G88="雲景道", "梁哥",
    OR(G88 = "九龍仔", G88 = "曾大屋"), "子睿",
    G88 = "Aldrich Bay", "QC football",
    G88 = "馬鞍山游樂場", "Thomas",
    TRUE, "Barry"
)</f>
        <v>Barry</v>
      </c>
      <c r="L88">
        <v>0</v>
      </c>
      <c r="M88">
        <v>1</v>
      </c>
      <c r="N88">
        <v>0</v>
      </c>
      <c r="O88">
        <v>0</v>
      </c>
      <c r="P88" t="str">
        <f t="shared" si="1"/>
        <v>2025-2026</v>
      </c>
    </row>
    <row r="89" spans="1:16" ht="15">
      <c r="A89" s="1">
        <v>46008</v>
      </c>
      <c r="B89" t="s">
        <v>16</v>
      </c>
      <c r="C89" t="str">
        <f>_xlfn.CONCAT(REPT($D$1,D89), REPT($F$1,E89))</f>
        <v/>
      </c>
      <c r="D89">
        <v>0</v>
      </c>
      <c r="E89">
        <v>0</v>
      </c>
      <c r="F89">
        <v>6.2</v>
      </c>
      <c r="G89" t="s">
        <v>62</v>
      </c>
      <c r="H89" s="6">
        <v>0.83333333333333337</v>
      </c>
      <c r="J89" s="3">
        <f>SUM(D89:E89)</f>
        <v>0</v>
      </c>
      <c r="K89" s="7" t="str">
        <f>_xlfn.IFS(
    AND(H89=TIME(20,0,0), G89&lt;&gt;"九龍仔", G89&lt;&gt;"曾大屋"), "馬哲",
    G89="雲景道", "梁哥",
    OR(G89 = "九龍仔", G89 = "曾大屋"), "子睿",
    G89 = "Aldrich Bay", "QC football",
    G89 = "馬鞍山游樂場", "Thomas",
    TRUE, "Barry"
)</f>
        <v>子睿</v>
      </c>
      <c r="L89">
        <v>0</v>
      </c>
      <c r="M89">
        <v>0</v>
      </c>
      <c r="N89">
        <v>0</v>
      </c>
      <c r="O89">
        <v>0</v>
      </c>
      <c r="P89" t="str">
        <f t="shared" si="1"/>
        <v>2025-2026</v>
      </c>
    </row>
    <row r="90" spans="1:16" ht="15">
      <c r="A90" s="1">
        <v>46008</v>
      </c>
      <c r="B90" t="s">
        <v>17</v>
      </c>
      <c r="C90" t="str">
        <f>_xlfn.CONCAT(REPT($D$1,D90), REPT($F$1,E90))</f>
        <v>⚽</v>
      </c>
      <c r="D90">
        <v>1</v>
      </c>
      <c r="E90">
        <v>0</v>
      </c>
      <c r="F90">
        <v>7.3</v>
      </c>
      <c r="G90" t="s">
        <v>62</v>
      </c>
      <c r="H90" s="6">
        <v>0.83333333333333337</v>
      </c>
      <c r="J90" s="3">
        <f>SUM(D90:E90)</f>
        <v>1</v>
      </c>
      <c r="K90" s="7" t="str">
        <f>_xlfn.IFS(
    AND(H90=TIME(20,0,0), G90&lt;&gt;"九龍仔", G90&lt;&gt;"曾大屋"), "馬哲",
    G90="雲景道", "梁哥",
    OR(G90 = "九龍仔", G90 = "曾大屋"), "子睿",
    G90 = "Aldrich Bay", "QC football",
    G90 = "馬鞍山游樂場", "Thomas",
    TRUE, "Barry"
)</f>
        <v>子睿</v>
      </c>
      <c r="L90">
        <v>0</v>
      </c>
      <c r="M90">
        <v>1</v>
      </c>
      <c r="N90">
        <v>0</v>
      </c>
      <c r="O90">
        <v>0</v>
      </c>
      <c r="P90" t="str">
        <f t="shared" si="1"/>
        <v>2025-2026</v>
      </c>
    </row>
    <row r="91" spans="1:16" ht="15">
      <c r="A91" s="1">
        <v>45998</v>
      </c>
      <c r="B91" t="s">
        <v>16</v>
      </c>
      <c r="C91" t="str">
        <f>_xlfn.CONCAT(REPT($D$1,D91), REPT($F$1,E91))</f>
        <v>⚽⚽⚽👟</v>
      </c>
      <c r="D91">
        <v>3</v>
      </c>
      <c r="E91">
        <v>1</v>
      </c>
      <c r="F91">
        <v>9.9</v>
      </c>
      <c r="G91" t="s">
        <v>39</v>
      </c>
      <c r="H91" s="6">
        <v>0.66666666666666663</v>
      </c>
      <c r="J91" s="3">
        <f>SUM(D91:E91)</f>
        <v>4</v>
      </c>
      <c r="K91" s="7" t="str">
        <f>_xlfn.IFS(
    AND(H91=TIME(20,0,0), G91&lt;&gt;"九龍仔", G91&lt;&gt;"曾大屋"), "馬哲",
    G91="雲景道", "梁哥",
    OR(G91 = "九龍仔", G91 = "曾大屋"), "子睿",
    G91 = "Aldrich Bay", "QC football",
    G91 = "馬鞍山游樂場", "Thomas",
    TRUE, "Barry"
)</f>
        <v>梁哥</v>
      </c>
      <c r="L91">
        <v>1</v>
      </c>
      <c r="M91">
        <v>2</v>
      </c>
      <c r="N91">
        <v>0</v>
      </c>
      <c r="O91">
        <v>0</v>
      </c>
      <c r="P91" t="str">
        <f t="shared" si="1"/>
        <v>2025-2026</v>
      </c>
    </row>
    <row r="92" spans="1:16" ht="15">
      <c r="A92" s="1">
        <v>45998</v>
      </c>
      <c r="B92" t="s">
        <v>17</v>
      </c>
      <c r="C92" t="str">
        <f>_xlfn.CONCAT(REPT($D$1,D92), REPT($F$1,E92))</f>
        <v>⚽⚽⚽⚽⚽⚽👟👟👟👟</v>
      </c>
      <c r="D92">
        <v>6</v>
      </c>
      <c r="E92">
        <v>4</v>
      </c>
      <c r="F92">
        <v>10</v>
      </c>
      <c r="G92" t="s">
        <v>39</v>
      </c>
      <c r="H92" s="6">
        <v>0.66666666666666663</v>
      </c>
      <c r="J92" s="3">
        <f>SUM(D92:E92)</f>
        <v>10</v>
      </c>
      <c r="K92" s="7" t="str">
        <f>_xlfn.IFS(
    AND(H92=TIME(20,0,0), G92&lt;&gt;"九龍仔", G92&lt;&gt;"曾大屋"), "馬哲",
    G92="雲景道", "梁哥",
    OR(G92 = "九龍仔", G92 = "曾大屋"), "子睿",
    G92 = "Aldrich Bay", "QC football",
    G92 = "馬鞍山游樂場", "Thomas",
    TRUE, "Barry"
)</f>
        <v>梁哥</v>
      </c>
      <c r="L92">
        <v>1</v>
      </c>
      <c r="M92">
        <v>5</v>
      </c>
      <c r="N92">
        <v>0</v>
      </c>
      <c r="O92">
        <v>0</v>
      </c>
      <c r="P92" t="str">
        <f t="shared" si="1"/>
        <v>2025-2026</v>
      </c>
    </row>
    <row r="93" spans="1:16" ht="15">
      <c r="A93" s="1">
        <v>45991</v>
      </c>
      <c r="B93" t="s">
        <v>16</v>
      </c>
      <c r="C93" t="str">
        <f>_xlfn.CONCAT(REPT($D$1,D93), REPT($F$1,E93))</f>
        <v>⚽⚽👟👟👟👟</v>
      </c>
      <c r="D93">
        <v>2</v>
      </c>
      <c r="E93">
        <v>4</v>
      </c>
      <c r="F93">
        <v>9.9</v>
      </c>
      <c r="G93" t="s">
        <v>39</v>
      </c>
      <c r="H93" s="6">
        <v>0.66666666666666663</v>
      </c>
      <c r="J93" s="3">
        <f>SUM(D93:E93)</f>
        <v>6</v>
      </c>
      <c r="K93" s="7" t="str">
        <f>_xlfn.IFS(
    AND(H93=TIME(20,0,0), G93&lt;&gt;"九龍仔", G93&lt;&gt;"曾大屋"), "馬哲",
    G93="雲景道", "梁哥",
    OR(G93 = "九龍仔", G93 = "曾大屋"), "子睿",
    G93 = "Aldrich Bay", "QC football",
    G93 = "馬鞍山游樂場", "Thomas",
    TRUE, "Barry"
)</f>
        <v>梁哥</v>
      </c>
      <c r="L93">
        <v>0</v>
      </c>
      <c r="M93">
        <v>2</v>
      </c>
      <c r="N93">
        <v>0</v>
      </c>
      <c r="O93">
        <v>0</v>
      </c>
      <c r="P93" t="str">
        <f t="shared" si="1"/>
        <v>2025-2026</v>
      </c>
    </row>
    <row r="94" spans="1:16" ht="15">
      <c r="A94" s="1">
        <v>45991</v>
      </c>
      <c r="B94" t="s">
        <v>17</v>
      </c>
      <c r="C94" t="str">
        <f>_xlfn.CONCAT(REPT($D$1,D94), REPT($F$1,E94))</f>
        <v>⚽⚽⚽⚽⚽</v>
      </c>
      <c r="D94">
        <v>5</v>
      </c>
      <c r="E94">
        <v>0</v>
      </c>
      <c r="F94">
        <v>10</v>
      </c>
      <c r="G94" t="s">
        <v>39</v>
      </c>
      <c r="H94" s="6">
        <v>0.66666666666666663</v>
      </c>
      <c r="J94" s="3">
        <f>SUM(D94:E94)</f>
        <v>5</v>
      </c>
      <c r="K94" s="7" t="str">
        <f>_xlfn.IFS(
    AND(H94=TIME(20,0,0), G94&lt;&gt;"九龍仔", G94&lt;&gt;"曾大屋"), "馬哲",
    G94="雲景道", "梁哥",
    OR(G94 = "九龍仔", G94 = "曾大屋"), "子睿",
    G94 = "Aldrich Bay", "QC football",
    G94 = "馬鞍山游樂場", "Thomas",
    TRUE, "Barry"
)</f>
        <v>梁哥</v>
      </c>
      <c r="L94">
        <v>3</v>
      </c>
      <c r="M94">
        <v>1</v>
      </c>
      <c r="N94">
        <v>1</v>
      </c>
      <c r="O94">
        <v>0</v>
      </c>
      <c r="P94" t="str">
        <f t="shared" si="1"/>
        <v>2025-2026</v>
      </c>
    </row>
    <row r="95" spans="1:16" ht="15">
      <c r="A95" s="1">
        <v>45977</v>
      </c>
      <c r="B95" t="s">
        <v>16</v>
      </c>
      <c r="C95" t="str">
        <f>_xlfn.CONCAT(REPT($D$1,D95), REPT($F$1,E95))</f>
        <v>⚽⚽👟</v>
      </c>
      <c r="D95">
        <v>2</v>
      </c>
      <c r="E95">
        <v>1</v>
      </c>
      <c r="F95">
        <v>9.6</v>
      </c>
      <c r="G95" t="s">
        <v>68</v>
      </c>
      <c r="H95" s="6">
        <v>0.83333333333333337</v>
      </c>
      <c r="J95" s="3">
        <f>SUM(D95:E95)</f>
        <v>3</v>
      </c>
      <c r="K95" s="7" t="str">
        <f>_xlfn.IFS(
    AND(H95=TIME(20,0,0), G95&lt;&gt;"九龍仔", G95&lt;&gt;"曾大屋"), "馬哲",
    G95="雲景道", "梁哥",
    OR(G95 = "九龍仔", G95 = "曾大屋"), "子睿",
    G95 = "Aldrich Bay", "QC football",
    G95 = "馬鞍山游樂場", "Thomas",
    TRUE, "Barry"
)</f>
        <v>子睿</v>
      </c>
      <c r="L95">
        <v>0</v>
      </c>
      <c r="M95">
        <v>2</v>
      </c>
      <c r="N95">
        <v>0</v>
      </c>
      <c r="O95">
        <v>0</v>
      </c>
      <c r="P95" t="str">
        <f t="shared" si="1"/>
        <v>2025-2026</v>
      </c>
    </row>
    <row r="96" spans="1:16" ht="15">
      <c r="A96" s="1">
        <v>45977</v>
      </c>
      <c r="B96" t="s">
        <v>17</v>
      </c>
      <c r="C96" t="str">
        <f>_xlfn.CONCAT(REPT($D$1,D96), REPT($F$1,E96))</f>
        <v>⚽⚽👟👟</v>
      </c>
      <c r="D96">
        <v>2</v>
      </c>
      <c r="E96">
        <v>2</v>
      </c>
      <c r="F96">
        <v>10</v>
      </c>
      <c r="G96" t="s">
        <v>68</v>
      </c>
      <c r="H96" s="6">
        <v>0.83333333333333337</v>
      </c>
      <c r="J96" s="3">
        <f>SUM(D96:E96)</f>
        <v>4</v>
      </c>
      <c r="K96" s="7" t="str">
        <f>_xlfn.IFS(
    AND(H96=TIME(20,0,0), G96&lt;&gt;"九龍仔", G96&lt;&gt;"曾大屋"), "馬哲",
    G96="雲景道", "梁哥",
    OR(G96 = "九龍仔", G96 = "曾大屋"), "子睿",
    G96 = "Aldrich Bay", "QC football",
    G96 = "馬鞍山游樂場", "Thomas",
    TRUE, "Barry"
)</f>
        <v>子睿</v>
      </c>
      <c r="L96">
        <v>1</v>
      </c>
      <c r="M96">
        <v>1</v>
      </c>
      <c r="N96">
        <v>0</v>
      </c>
      <c r="O96">
        <v>0</v>
      </c>
      <c r="P96" t="str">
        <f t="shared" si="1"/>
        <v>2025-2026</v>
      </c>
    </row>
    <row r="97" spans="1:16" ht="15">
      <c r="A97" s="1">
        <v>45975</v>
      </c>
      <c r="B97" t="s">
        <v>16</v>
      </c>
      <c r="C97" t="str">
        <f>_xlfn.CONCAT(REPT($D$1,D97), REPT($F$1,E97))</f>
        <v>⚽</v>
      </c>
      <c r="D97">
        <v>1</v>
      </c>
      <c r="E97">
        <v>0</v>
      </c>
      <c r="F97">
        <v>8</v>
      </c>
      <c r="G97" t="s">
        <v>69</v>
      </c>
      <c r="H97" s="6">
        <v>0.47916666666666669</v>
      </c>
      <c r="J97" s="3">
        <f>SUM(D97:E97)</f>
        <v>1</v>
      </c>
      <c r="K97" s="7" t="str">
        <f>_xlfn.IFS(
    AND(H97=TIME(20,0,0), G97&lt;&gt;"九龍仔", G97&lt;&gt;"曾大屋"), "馬哲",
    G97="雲景道", "梁哥",
    OR(G97 = "九龍仔", G97 = "曾大屋"), "子睿",
    G97 = "Aldrich Bay", "QC football",
    G97 = "馬鞍山游樂場", "Thomas",
    TRUE, "Barry"
)</f>
        <v>Barry</v>
      </c>
      <c r="L97">
        <v>0</v>
      </c>
      <c r="M97">
        <v>1</v>
      </c>
      <c r="N97">
        <v>0</v>
      </c>
      <c r="O97">
        <v>0</v>
      </c>
      <c r="P97" t="str">
        <f t="shared" si="1"/>
        <v>2025-2026</v>
      </c>
    </row>
    <row r="98" spans="1:16" ht="15">
      <c r="A98" s="1">
        <v>45975</v>
      </c>
      <c r="B98" t="s">
        <v>17</v>
      </c>
      <c r="C98" t="str">
        <f>_xlfn.CONCAT(REPT($D$1,D98), REPT($F$1,E98))</f>
        <v>⚽👟</v>
      </c>
      <c r="D98">
        <v>1</v>
      </c>
      <c r="E98">
        <v>1</v>
      </c>
      <c r="F98">
        <v>8.5</v>
      </c>
      <c r="G98" t="s">
        <v>69</v>
      </c>
      <c r="H98" s="6">
        <v>0.47916666666666669</v>
      </c>
      <c r="J98" s="3">
        <f>SUM(D98:E98)</f>
        <v>2</v>
      </c>
      <c r="K98" s="7" t="str">
        <f>_xlfn.IFS(
    AND(H98=TIME(20,0,0), G98&lt;&gt;"九龍仔", G98&lt;&gt;"曾大屋"), "馬哲",
    G98="雲景道", "梁哥",
    OR(G98 = "九龍仔", G98 = "曾大屋"), "子睿",
    G98 = "Aldrich Bay", "QC football",
    G98 = "馬鞍山游樂場", "Thomas",
    TRUE, "Barry"
)</f>
        <v>Barry</v>
      </c>
      <c r="L98">
        <v>0</v>
      </c>
      <c r="M98">
        <v>1</v>
      </c>
      <c r="N98">
        <v>0</v>
      </c>
      <c r="O98">
        <v>0</v>
      </c>
      <c r="P98" t="str">
        <f t="shared" si="1"/>
        <v>2025-2026</v>
      </c>
    </row>
    <row r="99" spans="1:16" ht="15">
      <c r="A99" s="1">
        <v>45970</v>
      </c>
      <c r="B99" t="s">
        <v>16</v>
      </c>
      <c r="C99" t="str">
        <f>_xlfn.CONCAT(REPT($D$1,D99), REPT($F$1,E99))</f>
        <v>⚽⚽⚽⚽👟👟👟</v>
      </c>
      <c r="D99">
        <v>4</v>
      </c>
      <c r="E99">
        <v>3</v>
      </c>
      <c r="F99">
        <v>9.9</v>
      </c>
      <c r="G99" t="s">
        <v>39</v>
      </c>
      <c r="H99" s="6">
        <v>0.6875</v>
      </c>
      <c r="J99" s="3">
        <f>SUM(D99:E99)</f>
        <v>7</v>
      </c>
      <c r="K99" s="7" t="str">
        <f>_xlfn.IFS(
    AND(H99=TIME(20,0,0), G99&lt;&gt;"九龍仔", G99&lt;&gt;"曾大屋"), "馬哲",
    G99="雲景道", "梁哥",
    OR(G99 = "九龍仔", G99 = "曾大屋"), "子睿",
    G99 = "Aldrich Bay", "QC football",
    G99 = "馬鞍山游樂場", "Thomas",
    TRUE, "Barry"
)</f>
        <v>梁哥</v>
      </c>
      <c r="L99">
        <v>0</v>
      </c>
      <c r="M99">
        <v>4</v>
      </c>
      <c r="N99">
        <v>0</v>
      </c>
      <c r="O99">
        <v>0</v>
      </c>
      <c r="P99" t="str">
        <f t="shared" si="1"/>
        <v>2025-2026</v>
      </c>
    </row>
    <row r="100" spans="1:16" ht="15">
      <c r="A100" s="1">
        <v>45970</v>
      </c>
      <c r="B100" t="s">
        <v>17</v>
      </c>
      <c r="C100" t="str">
        <f>_xlfn.CONCAT(REPT($D$1,D100), REPT($F$1,E100))</f>
        <v>⚽⚽⚽⚽👟👟👟👟</v>
      </c>
      <c r="D100">
        <v>4</v>
      </c>
      <c r="E100">
        <v>4</v>
      </c>
      <c r="F100">
        <v>10</v>
      </c>
      <c r="G100" t="s">
        <v>39</v>
      </c>
      <c r="H100" s="6">
        <v>0.6875</v>
      </c>
      <c r="J100" s="3">
        <f>SUM(D100:E100)</f>
        <v>8</v>
      </c>
      <c r="K100" s="7" t="str">
        <f>_xlfn.IFS(
    AND(H100=TIME(20,0,0), G100&lt;&gt;"九龍仔", G100&lt;&gt;"曾大屋"), "馬哲",
    G100="雲景道", "梁哥",
    OR(G100 = "九龍仔", G100 = "曾大屋"), "子睿",
    G100 = "Aldrich Bay", "QC football",
    G100 = "馬鞍山游樂場", "Thomas",
    TRUE, "Barry"
)</f>
        <v>梁哥</v>
      </c>
      <c r="L100">
        <v>2</v>
      </c>
      <c r="M100">
        <v>2</v>
      </c>
      <c r="N100">
        <v>0</v>
      </c>
      <c r="O100">
        <v>0</v>
      </c>
      <c r="P100" t="str">
        <f t="shared" si="1"/>
        <v>2025-2026</v>
      </c>
    </row>
    <row r="101" spans="1:16" ht="15">
      <c r="A101" s="1">
        <v>45959</v>
      </c>
      <c r="B101" t="s">
        <v>16</v>
      </c>
      <c r="C101" t="str">
        <f>_xlfn.CONCAT(REPT($D$1,D101), REPT($F$1,E101))</f>
        <v/>
      </c>
      <c r="D101">
        <v>0</v>
      </c>
      <c r="E101">
        <v>0</v>
      </c>
      <c r="F101">
        <v>6.2</v>
      </c>
      <c r="G101" t="s">
        <v>70</v>
      </c>
      <c r="H101" s="6">
        <v>0.89583333333333337</v>
      </c>
      <c r="J101" s="3">
        <f>SUM(D101:E101)</f>
        <v>0</v>
      </c>
      <c r="K101" s="7" t="str">
        <f>_xlfn.IFS(
    AND(H101=TIME(20,0,0), G101&lt;&gt;"九龍仔", G101&lt;&gt;"曾大屋"), "馬哲",
    G101="雲景道", "梁哥",
    OR(G101 = "九龍仔", G101 = "曾大屋"), "子睿",
    G101 = "Aldrich Bay", "QC football",
    G101 = "馬鞍山游樂場", "Thomas",
    TRUE, "Barry"
)</f>
        <v>Thomas</v>
      </c>
      <c r="L101">
        <v>0</v>
      </c>
      <c r="M101">
        <v>0</v>
      </c>
      <c r="N101">
        <v>0</v>
      </c>
      <c r="O101">
        <v>0</v>
      </c>
      <c r="P101" t="str">
        <f t="shared" si="1"/>
        <v>2025-2026</v>
      </c>
    </row>
    <row r="102" spans="1:16" ht="15">
      <c r="A102" s="1">
        <v>45959</v>
      </c>
      <c r="B102" t="s">
        <v>16</v>
      </c>
      <c r="C102" t="str">
        <f>_xlfn.CONCAT(REPT($D$1,D102), REPT($F$1,E102))</f>
        <v>⚽⚽👟</v>
      </c>
      <c r="D102">
        <v>2</v>
      </c>
      <c r="E102">
        <v>1</v>
      </c>
      <c r="F102">
        <v>9.4</v>
      </c>
      <c r="G102" t="s">
        <v>40</v>
      </c>
      <c r="H102" s="6">
        <v>0.39583333333333331</v>
      </c>
      <c r="J102" s="3">
        <f>SUM(D102:E102)</f>
        <v>3</v>
      </c>
      <c r="K102" s="7" t="str">
        <f>_xlfn.IFS(
    AND(H102=TIME(20,0,0), G102&lt;&gt;"九龍仔", G102&lt;&gt;"曾大屋"), "馬哲",
    G102="雲景道", "梁哥",
    OR(G102 = "九龍仔", G102 = "曾大屋"), "子睿",
    G102 = "Aldrich Bay", "QC football",
    G102 = "馬鞍山游樂場", "Thomas",
    TRUE, "Barry"
)</f>
        <v>Barry</v>
      </c>
      <c r="L102">
        <v>0</v>
      </c>
      <c r="M102">
        <v>2</v>
      </c>
      <c r="N102">
        <v>0</v>
      </c>
      <c r="O102">
        <v>0</v>
      </c>
      <c r="P102" t="str">
        <f t="shared" si="1"/>
        <v>2025-2026</v>
      </c>
    </row>
    <row r="103" spans="1:16" ht="15">
      <c r="A103" s="1">
        <v>45959</v>
      </c>
      <c r="B103" t="s">
        <v>17</v>
      </c>
      <c r="C103" t="str">
        <f>_xlfn.CONCAT(REPT($D$1,D103), REPT($F$1,E103))</f>
        <v>⚽⚽⚽👟</v>
      </c>
      <c r="D103">
        <v>3</v>
      </c>
      <c r="E103">
        <v>1</v>
      </c>
      <c r="F103">
        <v>9.9</v>
      </c>
      <c r="G103" t="s">
        <v>40</v>
      </c>
      <c r="H103" s="6">
        <v>0.39583333333333331</v>
      </c>
      <c r="J103" s="3">
        <f>SUM(D103:E103)</f>
        <v>4</v>
      </c>
      <c r="K103" s="7" t="str">
        <f>_xlfn.IFS(
    AND(H103=TIME(20,0,0), G103&lt;&gt;"九龍仔", G103&lt;&gt;"曾大屋"), "馬哲",
    G103="雲景道", "梁哥",
    OR(G103 = "九龍仔", G103 = "曾大屋"), "子睿",
    G103 = "Aldrich Bay", "QC football",
    G103 = "馬鞍山游樂場", "Thomas",
    TRUE, "Barry"
)</f>
        <v>Barry</v>
      </c>
      <c r="L103">
        <v>1</v>
      </c>
      <c r="M103">
        <v>2</v>
      </c>
      <c r="N103">
        <v>0</v>
      </c>
      <c r="O103">
        <v>0</v>
      </c>
      <c r="P103" t="str">
        <f t="shared" si="1"/>
        <v>2025-2026</v>
      </c>
    </row>
    <row r="104" spans="1:16" ht="15">
      <c r="A104" s="1">
        <v>45956</v>
      </c>
      <c r="B104" t="s">
        <v>16</v>
      </c>
      <c r="C104" t="str">
        <f>_xlfn.CONCAT(REPT($D$1,D104), REPT($F$1,E104))</f>
        <v/>
      </c>
      <c r="D104">
        <v>0</v>
      </c>
      <c r="E104">
        <v>0</v>
      </c>
      <c r="F104">
        <v>7</v>
      </c>
      <c r="G104" t="s">
        <v>39</v>
      </c>
      <c r="H104" s="6">
        <v>0.66666666666666663</v>
      </c>
      <c r="J104" s="3">
        <f>SUM(D104:E104)</f>
        <v>0</v>
      </c>
      <c r="K104" s="7" t="str">
        <f>_xlfn.IFS(
    AND(H104=TIME(20,0,0), G104&lt;&gt;"九龍仔", G104&lt;&gt;"曾大屋"), "馬哲",
    G104="雲景道", "梁哥",
    OR(G104 = "九龍仔", G104 = "曾大屋"), "子睿",
    G104 = "Aldrich Bay", "QC football",
    G104 = "馬鞍山游樂場", "Thomas",
    TRUE, "Barry"
)</f>
        <v>梁哥</v>
      </c>
      <c r="L104">
        <v>0</v>
      </c>
      <c r="M104">
        <v>0</v>
      </c>
      <c r="N104">
        <v>0</v>
      </c>
      <c r="O104">
        <v>0</v>
      </c>
      <c r="P104" t="str">
        <f t="shared" si="1"/>
        <v>2025-2026</v>
      </c>
    </row>
    <row r="105" spans="1:16" ht="15">
      <c r="A105" s="1">
        <v>45956</v>
      </c>
      <c r="B105" t="s">
        <v>17</v>
      </c>
      <c r="C105" t="str">
        <f>_xlfn.CONCAT(REPT($D$1,D105), REPT($F$1,E105))</f>
        <v>⚽⚽⚽👟👟</v>
      </c>
      <c r="D105">
        <v>3</v>
      </c>
      <c r="E105">
        <v>2</v>
      </c>
      <c r="F105">
        <v>9.8000000000000007</v>
      </c>
      <c r="G105" t="s">
        <v>39</v>
      </c>
      <c r="H105" s="6">
        <v>0.66666666666666663</v>
      </c>
      <c r="J105" s="3">
        <f>SUM(D105:E105)</f>
        <v>5</v>
      </c>
      <c r="K105" s="7" t="str">
        <f>_xlfn.IFS(
    AND(H105=TIME(20,0,0), G105&lt;&gt;"九龍仔", G105&lt;&gt;"曾大屋"), "馬哲",
    G105="雲景道", "梁哥",
    OR(G105 = "九龍仔", G105 = "曾大屋"), "子睿",
    G105 = "Aldrich Bay", "QC football",
    G105 = "馬鞍山游樂場", "Thomas",
    TRUE, "Barry"
)</f>
        <v>梁哥</v>
      </c>
      <c r="L105">
        <v>2</v>
      </c>
      <c r="M105">
        <v>1</v>
      </c>
      <c r="N105">
        <v>0</v>
      </c>
      <c r="O105">
        <v>0</v>
      </c>
      <c r="P105" t="str">
        <f t="shared" si="1"/>
        <v>2025-2026</v>
      </c>
    </row>
    <row r="106" spans="1:16" ht="15">
      <c r="A106" s="1">
        <v>45944</v>
      </c>
      <c r="B106" t="s">
        <v>16</v>
      </c>
      <c r="C106" t="str">
        <f>_xlfn.CONCAT(REPT($D$1,D106), REPT($F$1,E106))</f>
        <v>👟👟</v>
      </c>
      <c r="D106">
        <v>0</v>
      </c>
      <c r="E106">
        <v>2</v>
      </c>
      <c r="F106">
        <v>8.5</v>
      </c>
      <c r="G106" t="s">
        <v>40</v>
      </c>
      <c r="H106" s="6">
        <v>0.83333333333333337</v>
      </c>
      <c r="J106" s="3">
        <f>SUM(D106:E106)</f>
        <v>2</v>
      </c>
      <c r="K106" s="7" t="str">
        <f>_xlfn.IFS(
    AND(H106=TIME(20,0,0), G106&lt;&gt;"九龍仔", G106&lt;&gt;"曾大屋"), "馬哲",
    G106="雲景道", "梁哥",
    OR(G106 = "九龍仔", G106 = "曾大屋"), "子睿",
    G106 = "Aldrich Bay", "QC football",
    G106 = "馬鞍山游樂場", "Thomas",
    TRUE, "Barry"
)</f>
        <v>馬哲</v>
      </c>
      <c r="L106">
        <v>0</v>
      </c>
      <c r="M106">
        <v>0</v>
      </c>
      <c r="N106">
        <v>0</v>
      </c>
      <c r="O106">
        <v>0</v>
      </c>
      <c r="P106" t="str">
        <f t="shared" si="1"/>
        <v>2025-2026</v>
      </c>
    </row>
    <row r="107" spans="1:16" ht="15">
      <c r="A107" s="1">
        <v>45944</v>
      </c>
      <c r="B107" t="s">
        <v>17</v>
      </c>
      <c r="C107" t="str">
        <f>_xlfn.CONCAT(REPT($D$1,D107), REPT($F$1,E107))</f>
        <v>⚽⚽⚽⚽⚽</v>
      </c>
      <c r="D107">
        <v>5</v>
      </c>
      <c r="E107">
        <v>0</v>
      </c>
      <c r="F107">
        <v>10</v>
      </c>
      <c r="G107" t="s">
        <v>40</v>
      </c>
      <c r="H107" s="6">
        <v>0.83333333333333337</v>
      </c>
      <c r="J107" s="3">
        <f>SUM(D107:E107)</f>
        <v>5</v>
      </c>
      <c r="K107" s="7" t="str">
        <f>_xlfn.IFS(
    AND(H107=TIME(20,0,0), G107&lt;&gt;"九龍仔", G107&lt;&gt;"曾大屋"), "馬哲",
    G107="雲景道", "梁哥",
    OR(G107 = "九龍仔", G107 = "曾大屋"), "子睿",
    G107 = "Aldrich Bay", "QC football",
    G107 = "馬鞍山游樂場", "Thomas",
    TRUE, "Barry"
)</f>
        <v>馬哲</v>
      </c>
      <c r="L107">
        <v>3</v>
      </c>
      <c r="M107">
        <v>2</v>
      </c>
      <c r="N107">
        <v>0</v>
      </c>
      <c r="O107">
        <v>0</v>
      </c>
      <c r="P107" t="str">
        <f t="shared" si="1"/>
        <v>2025-2026</v>
      </c>
    </row>
    <row r="108" spans="1:16" ht="15">
      <c r="A108" s="1">
        <v>45942</v>
      </c>
      <c r="B108" t="s">
        <v>16</v>
      </c>
      <c r="C108" t="str">
        <f>_xlfn.CONCAT(REPT($D$1,D108), REPT($F$1,E108))</f>
        <v>⚽⚽⚽⚽</v>
      </c>
      <c r="D108">
        <v>4</v>
      </c>
      <c r="E108">
        <v>0</v>
      </c>
      <c r="F108">
        <v>9.6999999999999993</v>
      </c>
      <c r="G108" t="s">
        <v>39</v>
      </c>
      <c r="H108" s="6">
        <v>0.66666666666666663</v>
      </c>
      <c r="J108" s="3">
        <f>SUM(D108:E108)</f>
        <v>4</v>
      </c>
      <c r="K108" s="7" t="str">
        <f>_xlfn.IFS(
    AND(H108=TIME(20,0,0), G108&lt;&gt;"九龍仔", G108&lt;&gt;"曾大屋"), "馬哲",
    G108="雲景道", "梁哥",
    OR(G108 = "九龍仔", G108 = "曾大屋"), "子睿",
    G108 = "Aldrich Bay", "QC football",
    G108 = "馬鞍山游樂場", "Thomas",
    TRUE, "Barry"
)</f>
        <v>梁哥</v>
      </c>
      <c r="L108">
        <v>0</v>
      </c>
      <c r="M108">
        <v>2</v>
      </c>
      <c r="N108">
        <v>2</v>
      </c>
      <c r="O108">
        <v>0</v>
      </c>
      <c r="P108" t="str">
        <f t="shared" si="1"/>
        <v>2025-2026</v>
      </c>
    </row>
    <row r="109" spans="1:16" ht="15">
      <c r="A109" s="1">
        <v>45939</v>
      </c>
      <c r="B109" t="s">
        <v>16</v>
      </c>
      <c r="C109" t="str">
        <f>_xlfn.CONCAT(REPT($D$1,D109), REPT($F$1,E109))</f>
        <v/>
      </c>
      <c r="D109">
        <v>0</v>
      </c>
      <c r="E109">
        <v>0</v>
      </c>
      <c r="F109">
        <v>6.5</v>
      </c>
      <c r="G109" t="s">
        <v>71</v>
      </c>
      <c r="H109" s="6">
        <v>0.83333333333333337</v>
      </c>
      <c r="J109" s="3">
        <f>SUM(D109:E109)</f>
        <v>0</v>
      </c>
      <c r="K109" s="7" t="str">
        <f>_xlfn.IFS(
    AND(H109=TIME(20,0,0), G109&lt;&gt;"九龍仔", G109&lt;&gt;"曾大屋"), "馬哲",
    G109="雲景道", "梁哥",
    OR(G109 = "九龍仔", G109 = "曾大屋"), "子睿",
    G109 = "Aldrich Bay", "QC football",
    G109 = "馬鞍山游樂場", "Thomas",
    TRUE, "Barry"
)</f>
        <v>馬哲</v>
      </c>
      <c r="L109">
        <v>0</v>
      </c>
      <c r="M109">
        <v>0</v>
      </c>
      <c r="N109">
        <v>0</v>
      </c>
      <c r="O109">
        <v>0</v>
      </c>
      <c r="P109" t="str">
        <f t="shared" si="1"/>
        <v>2025-2026</v>
      </c>
    </row>
    <row r="110" spans="1:16" ht="15">
      <c r="A110" s="1">
        <v>45939</v>
      </c>
      <c r="B110" t="s">
        <v>17</v>
      </c>
      <c r="C110" t="str">
        <f>_xlfn.CONCAT(REPT($D$1,D110), REPT($F$1,E110))</f>
        <v>👟</v>
      </c>
      <c r="D110">
        <v>0</v>
      </c>
      <c r="E110">
        <v>1</v>
      </c>
      <c r="F110">
        <v>7.6</v>
      </c>
      <c r="G110" t="s">
        <v>71</v>
      </c>
      <c r="H110" s="6">
        <v>0.83333333333333337</v>
      </c>
      <c r="J110" s="3">
        <f>SUM(D110:E110)</f>
        <v>1</v>
      </c>
      <c r="K110" s="7" t="str">
        <f>_xlfn.IFS(
    AND(H110=TIME(20,0,0), G110&lt;&gt;"九龍仔", G110&lt;&gt;"曾大屋"), "馬哲",
    G110="雲景道", "梁哥",
    OR(G110 = "九龍仔", G110 = "曾大屋"), "子睿",
    G110 = "Aldrich Bay", "QC football",
    G110 = "馬鞍山游樂場", "Thomas",
    TRUE, "Barry"
)</f>
        <v>馬哲</v>
      </c>
      <c r="L110">
        <v>0</v>
      </c>
      <c r="M110">
        <v>0</v>
      </c>
      <c r="N110">
        <v>0</v>
      </c>
      <c r="O110">
        <v>0</v>
      </c>
      <c r="P110" t="str">
        <f t="shared" si="1"/>
        <v>2025-2026</v>
      </c>
    </row>
    <row r="111" spans="1:16" ht="15">
      <c r="A111" s="1">
        <v>45937</v>
      </c>
      <c r="B111" t="s">
        <v>16</v>
      </c>
      <c r="C111" t="str">
        <f>_xlfn.CONCAT(REPT($D$1,D111), REPT($F$1,E111))</f>
        <v>⚽</v>
      </c>
      <c r="D111">
        <v>1</v>
      </c>
      <c r="E111">
        <v>0</v>
      </c>
      <c r="F111">
        <v>8.3000000000000007</v>
      </c>
      <c r="G111" t="s">
        <v>72</v>
      </c>
      <c r="H111" s="6">
        <v>0.47916666666666669</v>
      </c>
      <c r="J111" s="3">
        <f>SUM(D111:E111)</f>
        <v>1</v>
      </c>
      <c r="K111" s="7" t="str">
        <f>_xlfn.IFS(
    AND(H111=TIME(20,0,0), G111&lt;&gt;"九龍仔", G111&lt;&gt;"曾大屋"), "馬哲",
    G111="雲景道", "梁哥",
    OR(G111 = "九龍仔", G111 = "曾大屋"), "子睿",
    G111 = "Aldrich Bay", "QC football",
    G111 = "馬鞍山游樂場", "Thomas",
    TRUE, "Barry"
)</f>
        <v>Barry</v>
      </c>
      <c r="L111">
        <v>0</v>
      </c>
      <c r="M111">
        <v>1</v>
      </c>
      <c r="N111">
        <v>0</v>
      </c>
      <c r="O111">
        <v>0</v>
      </c>
      <c r="P111" t="str">
        <f t="shared" si="1"/>
        <v>2025-2026</v>
      </c>
    </row>
    <row r="112" spans="1:16" ht="15">
      <c r="A112" s="1">
        <v>45937</v>
      </c>
      <c r="B112" t="s">
        <v>17</v>
      </c>
      <c r="C112" t="str">
        <f>_xlfn.CONCAT(REPT($D$1,D112), REPT($F$1,E112))</f>
        <v>⚽⚽👟</v>
      </c>
      <c r="D112">
        <v>2</v>
      </c>
      <c r="E112">
        <v>1</v>
      </c>
      <c r="F112">
        <v>9</v>
      </c>
      <c r="G112" t="s">
        <v>72</v>
      </c>
      <c r="H112" s="6">
        <v>0.47916666666666669</v>
      </c>
      <c r="J112" s="3">
        <f>SUM(D112:E112)</f>
        <v>3</v>
      </c>
      <c r="K112" s="7" t="str">
        <f>_xlfn.IFS(
    AND(H112=TIME(20,0,0), G112&lt;&gt;"九龍仔", G112&lt;&gt;"曾大屋"), "馬哲",
    G112="雲景道", "梁哥",
    OR(G112 = "九龍仔", G112 = "曾大屋"), "子睿",
    G112 = "Aldrich Bay", "QC football",
    G112 = "馬鞍山游樂場", "Thomas",
    TRUE, "Barry"
)</f>
        <v>Barry</v>
      </c>
      <c r="L112">
        <v>0</v>
      </c>
      <c r="M112">
        <v>2</v>
      </c>
      <c r="N112">
        <v>0</v>
      </c>
      <c r="O112">
        <v>0</v>
      </c>
      <c r="P112" t="str">
        <f t="shared" si="1"/>
        <v>2025-2026</v>
      </c>
    </row>
    <row r="113" spans="1:16" ht="15">
      <c r="A113" s="1">
        <v>45935</v>
      </c>
      <c r="B113" t="s">
        <v>16</v>
      </c>
      <c r="C113" t="str">
        <f>_xlfn.CONCAT(REPT($D$1,D113), REPT($F$1,E113))</f>
        <v>⚽⚽</v>
      </c>
      <c r="D113">
        <v>2</v>
      </c>
      <c r="E113">
        <v>0</v>
      </c>
      <c r="F113">
        <v>10</v>
      </c>
      <c r="G113" t="s">
        <v>42</v>
      </c>
      <c r="H113" s="6">
        <v>0.47916666666666669</v>
      </c>
      <c r="J113" s="3">
        <f>SUM(D113:E113)</f>
        <v>2</v>
      </c>
      <c r="K113" s="7" t="str">
        <f>_xlfn.IFS(
    AND(H113=TIME(20,0,0), G113&lt;&gt;"九龍仔", G113&lt;&gt;"曾大屋"), "馬哲",
    G113="雲景道", "梁哥",
    OR(G113 = "九龍仔", G113 = "曾大屋"), "子睿",
    G113 = "Aldrich Bay", "QC football",
    G113 = "馬鞍山游樂場", "Thomas",
    TRUE, "Barry"
)</f>
        <v>Barry</v>
      </c>
      <c r="L113">
        <v>0</v>
      </c>
      <c r="M113">
        <v>2</v>
      </c>
      <c r="N113">
        <v>0</v>
      </c>
      <c r="O113">
        <v>0</v>
      </c>
      <c r="P113" t="str">
        <f t="shared" si="1"/>
        <v>2025-2026</v>
      </c>
    </row>
    <row r="114" spans="1:16" ht="15">
      <c r="A114" s="1">
        <v>45935</v>
      </c>
      <c r="B114" t="s">
        <v>17</v>
      </c>
      <c r="C114" t="str">
        <f>_xlfn.CONCAT(REPT($D$1,D114), REPT($F$1,E114))</f>
        <v>⚽⚽⚽👟👟</v>
      </c>
      <c r="D114">
        <v>3</v>
      </c>
      <c r="E114">
        <v>2</v>
      </c>
      <c r="F114">
        <v>10</v>
      </c>
      <c r="G114" t="s">
        <v>42</v>
      </c>
      <c r="H114" s="6">
        <v>0.47916666666666669</v>
      </c>
      <c r="J114" s="3">
        <f>SUM(D114:E114)</f>
        <v>5</v>
      </c>
      <c r="K114" s="7" t="str">
        <f>_xlfn.IFS(
    AND(H114=TIME(20,0,0), G114&lt;&gt;"九龍仔", G114&lt;&gt;"曾大屋"), "馬哲",
    G114="雲景道", "梁哥",
    OR(G114 = "九龍仔", G114 = "曾大屋"), "子睿",
    G114 = "Aldrich Bay", "QC football",
    G114 = "馬鞍山游樂場", "Thomas",
    TRUE, "Barry"
)</f>
        <v>Barry</v>
      </c>
      <c r="L114">
        <v>1</v>
      </c>
      <c r="M114">
        <v>2</v>
      </c>
      <c r="N114">
        <v>0</v>
      </c>
      <c r="O114">
        <v>0</v>
      </c>
      <c r="P114" t="str">
        <f t="shared" si="1"/>
        <v>2025-2026</v>
      </c>
    </row>
    <row r="115" spans="1:16" ht="15">
      <c r="A115" s="1">
        <v>45931</v>
      </c>
      <c r="B115" t="s">
        <v>16</v>
      </c>
      <c r="C115" t="str">
        <f>_xlfn.CONCAT(REPT($D$1,D115), REPT($F$1,E115))</f>
        <v>⚽⚽</v>
      </c>
      <c r="D115">
        <v>2</v>
      </c>
      <c r="E115">
        <v>0</v>
      </c>
      <c r="F115">
        <v>9.1999999999999993</v>
      </c>
      <c r="G115" t="s">
        <v>42</v>
      </c>
      <c r="H115" s="6">
        <v>0.47916666666666669</v>
      </c>
      <c r="J115" s="3">
        <f>SUM(D115:E115)</f>
        <v>2</v>
      </c>
      <c r="K115" s="7" t="str">
        <f>_xlfn.IFS(
    AND(H115=TIME(20,0,0), G115&lt;&gt;"九龍仔", G115&lt;&gt;"曾大屋"), "馬哲",
    G115="雲景道", "梁哥",
    OR(G115 = "九龍仔", G115 = "曾大屋"), "子睿",
    G115 = "Aldrich Bay", "QC football",
    G115 = "馬鞍山游樂場", "Thomas",
    TRUE, "Barry"
)</f>
        <v>Barry</v>
      </c>
      <c r="L115">
        <v>0</v>
      </c>
      <c r="M115">
        <v>2</v>
      </c>
      <c r="N115">
        <v>0</v>
      </c>
      <c r="O115">
        <v>0</v>
      </c>
      <c r="P115" t="str">
        <f t="shared" si="1"/>
        <v>2025-2026</v>
      </c>
    </row>
    <row r="116" spans="1:16" ht="15">
      <c r="A116" s="1">
        <v>45931</v>
      </c>
      <c r="B116" t="s">
        <v>17</v>
      </c>
      <c r="C116" t="str">
        <f>_xlfn.CONCAT(REPT($D$1,D116), REPT($F$1,E116))</f>
        <v>⚽👟👟</v>
      </c>
      <c r="D116">
        <v>1</v>
      </c>
      <c r="E116">
        <v>2</v>
      </c>
      <c r="F116">
        <v>9</v>
      </c>
      <c r="G116" t="s">
        <v>42</v>
      </c>
      <c r="H116" s="6">
        <v>0.47916666666666669</v>
      </c>
      <c r="J116" s="3">
        <f>SUM(D116:E116)</f>
        <v>3</v>
      </c>
      <c r="K116" s="7" t="str">
        <f>_xlfn.IFS(
    AND(H116=TIME(20,0,0), G116&lt;&gt;"九龍仔", G116&lt;&gt;"曾大屋"), "馬哲",
    G116="雲景道", "梁哥",
    OR(G116 = "九龍仔", G116 = "曾大屋"), "子睿",
    G116 = "Aldrich Bay", "QC football",
    G116 = "馬鞍山游樂場", "Thomas",
    TRUE, "Barry"
)</f>
        <v>Barry</v>
      </c>
      <c r="L116">
        <v>0</v>
      </c>
      <c r="M116">
        <v>1</v>
      </c>
      <c r="N116">
        <v>0</v>
      </c>
      <c r="O116">
        <v>0</v>
      </c>
      <c r="P116" t="str">
        <f t="shared" si="1"/>
        <v>2025-2026</v>
      </c>
    </row>
    <row r="117" spans="1:16" ht="15">
      <c r="A117" s="1">
        <v>45922</v>
      </c>
      <c r="B117" t="s">
        <v>16</v>
      </c>
      <c r="C117" t="str">
        <f>_xlfn.CONCAT(REPT($D$1,D117), REPT($F$1,E117))</f>
        <v>⚽⚽👟</v>
      </c>
      <c r="D117">
        <v>2</v>
      </c>
      <c r="E117">
        <v>1</v>
      </c>
      <c r="F117">
        <v>9.8000000000000007</v>
      </c>
      <c r="G117" t="s">
        <v>40</v>
      </c>
      <c r="H117" s="6">
        <v>0.4375</v>
      </c>
      <c r="J117" s="3">
        <f>SUM(D117:E117)</f>
        <v>3</v>
      </c>
      <c r="K117" s="7" t="str">
        <f>_xlfn.IFS(
    AND(H117=TIME(20,0,0), G117&lt;&gt;"九龍仔", G117&lt;&gt;"曾大屋"), "馬哲",
    G117="雲景道", "梁哥",
    OR(G117 = "九龍仔", G117 = "曾大屋"), "子睿",
    G117 = "Aldrich Bay", "QC football",
    G117 = "馬鞍山游樂場", "Thomas",
    TRUE, "Barry"
)</f>
        <v>Barry</v>
      </c>
      <c r="L117">
        <v>0</v>
      </c>
      <c r="M117">
        <v>1</v>
      </c>
      <c r="N117">
        <v>1</v>
      </c>
      <c r="O117">
        <v>0</v>
      </c>
      <c r="P117" t="str">
        <f t="shared" si="1"/>
        <v>2025-2026</v>
      </c>
    </row>
    <row r="118" spans="1:16" ht="15">
      <c r="A118" s="1">
        <v>45922</v>
      </c>
      <c r="B118" t="s">
        <v>17</v>
      </c>
      <c r="C118" t="str">
        <f>_xlfn.CONCAT(REPT($D$1,D118), REPT($F$1,E118))</f>
        <v>⚽⚽⚽👟</v>
      </c>
      <c r="D118">
        <v>3</v>
      </c>
      <c r="E118">
        <v>1</v>
      </c>
      <c r="F118">
        <v>10</v>
      </c>
      <c r="G118" t="s">
        <v>40</v>
      </c>
      <c r="H118" s="6">
        <v>0.4375</v>
      </c>
      <c r="J118" s="3">
        <f>SUM(D118:E118)</f>
        <v>4</v>
      </c>
      <c r="K118" s="7" t="str">
        <f>_xlfn.IFS(
    AND(H118=TIME(20,0,0), G118&lt;&gt;"九龍仔", G118&lt;&gt;"曾大屋"), "馬哲",
    G118="雲景道", "梁哥",
    OR(G118 = "九龍仔", G118 = "曾大屋"), "子睿",
    G118 = "Aldrich Bay", "QC football",
    G118 = "馬鞍山游樂場", "Thomas",
    TRUE, "Barry"
)</f>
        <v>Barry</v>
      </c>
      <c r="L118">
        <v>1</v>
      </c>
      <c r="M118">
        <v>2</v>
      </c>
      <c r="N118">
        <v>0</v>
      </c>
      <c r="O118">
        <v>0</v>
      </c>
      <c r="P118" t="str">
        <f t="shared" si="1"/>
        <v>2025-2026</v>
      </c>
    </row>
    <row r="119" spans="1:16" ht="15">
      <c r="A119" s="1">
        <v>45921</v>
      </c>
      <c r="B119" t="s">
        <v>16</v>
      </c>
      <c r="C119" t="str">
        <f>_xlfn.CONCAT(REPT($D$1,D119), REPT($F$1,E119))</f>
        <v/>
      </c>
      <c r="D119">
        <v>0</v>
      </c>
      <c r="E119">
        <v>0</v>
      </c>
      <c r="F119">
        <v>8.8000000000000007</v>
      </c>
      <c r="G119" t="s">
        <v>42</v>
      </c>
      <c r="H119" s="6">
        <v>0.47916666666666669</v>
      </c>
      <c r="J119" s="3">
        <f>SUM(D119:E119)</f>
        <v>0</v>
      </c>
      <c r="K119" s="7" t="str">
        <f>_xlfn.IFS(
    AND(H119=TIME(20,0,0), G119&lt;&gt;"九龍仔", G119&lt;&gt;"曾大屋"), "馬哲",
    G119="雲景道", "梁哥",
    OR(G119 = "九龍仔", G119 = "曾大屋"), "子睿",
    G119 = "Aldrich Bay", "QC football",
    G119 = "馬鞍山游樂場", "Thomas",
    TRUE, "Barry"
)</f>
        <v>Barry</v>
      </c>
      <c r="L119">
        <v>0</v>
      </c>
      <c r="M119">
        <v>0</v>
      </c>
      <c r="N119">
        <v>0</v>
      </c>
      <c r="O119">
        <v>0</v>
      </c>
      <c r="P119" t="str">
        <f t="shared" si="1"/>
        <v>2025-2026</v>
      </c>
    </row>
    <row r="120" spans="1:16" ht="15">
      <c r="A120" s="1">
        <v>45921</v>
      </c>
      <c r="B120" t="s">
        <v>17</v>
      </c>
      <c r="C120" t="str">
        <f>_xlfn.CONCAT(REPT($D$1,D120), REPT($F$1,E120))</f>
        <v>⚽👟👟👟</v>
      </c>
      <c r="D120">
        <v>1</v>
      </c>
      <c r="E120">
        <v>3</v>
      </c>
      <c r="F120">
        <v>10</v>
      </c>
      <c r="G120" t="s">
        <v>42</v>
      </c>
      <c r="H120" s="6">
        <v>0.47916666666666669</v>
      </c>
      <c r="J120" s="3">
        <f>SUM(D120:E120)</f>
        <v>4</v>
      </c>
      <c r="K120" s="7" t="str">
        <f>_xlfn.IFS(
    AND(H120=TIME(20,0,0), G120&lt;&gt;"九龍仔", G120&lt;&gt;"曾大屋"), "馬哲",
    G120="雲景道", "梁哥",
    OR(G120 = "九龍仔", G120 = "曾大屋"), "子睿",
    G120 = "Aldrich Bay", "QC football",
    G120 = "馬鞍山游樂場", "Thomas",
    TRUE, "Barry"
)</f>
        <v>Barry</v>
      </c>
      <c r="L120">
        <v>0</v>
      </c>
      <c r="M120">
        <v>1</v>
      </c>
      <c r="N120">
        <v>0</v>
      </c>
      <c r="O120">
        <v>0</v>
      </c>
      <c r="P120" t="str">
        <f t="shared" si="1"/>
        <v>2025-2026</v>
      </c>
    </row>
    <row r="121" spans="1:16" ht="15">
      <c r="A121" s="1">
        <v>45914</v>
      </c>
      <c r="B121" t="s">
        <v>16</v>
      </c>
      <c r="C121" t="str">
        <f>_xlfn.CONCAT(REPT($D$1,D121), REPT($F$1,E121))</f>
        <v>👟</v>
      </c>
      <c r="D121">
        <v>0</v>
      </c>
      <c r="E121">
        <v>1</v>
      </c>
      <c r="F121">
        <v>7</v>
      </c>
      <c r="G121" t="s">
        <v>39</v>
      </c>
      <c r="H121" s="6">
        <v>0.66666666666666663</v>
      </c>
      <c r="J121" s="3">
        <f>SUM(D121:E121)</f>
        <v>1</v>
      </c>
      <c r="K121" s="7" t="str">
        <f>_xlfn.IFS(
    AND(H121=TIME(20,0,0), G121&lt;&gt;"九龍仔", G121&lt;&gt;"曾大屋"), "馬哲",
    G121="雲景道", "梁哥",
    OR(G121 = "九龍仔", G121 = "曾大屋"), "子睿",
    G121 = "Aldrich Bay", "QC football",
    G121 = "馬鞍山游樂場", "Thomas",
    TRUE, "Barry"
)</f>
        <v>梁哥</v>
      </c>
      <c r="L121">
        <v>0</v>
      </c>
      <c r="M121">
        <v>0</v>
      </c>
      <c r="N121">
        <v>0</v>
      </c>
      <c r="O121">
        <v>0</v>
      </c>
      <c r="P121" t="str">
        <f t="shared" si="1"/>
        <v>2025-2026</v>
      </c>
    </row>
    <row r="122" spans="1:16" ht="15">
      <c r="A122" s="1">
        <v>45914</v>
      </c>
      <c r="B122" t="s">
        <v>17</v>
      </c>
      <c r="C122" t="str">
        <f>_xlfn.CONCAT(REPT($D$1,D122), REPT($F$1,E122))</f>
        <v>⚽</v>
      </c>
      <c r="D122">
        <v>1</v>
      </c>
      <c r="E122">
        <v>0</v>
      </c>
      <c r="F122">
        <v>7.2</v>
      </c>
      <c r="G122" t="s">
        <v>39</v>
      </c>
      <c r="H122" s="6">
        <v>0.66666666666666663</v>
      </c>
      <c r="J122" s="3">
        <f>SUM(D122:E122)</f>
        <v>1</v>
      </c>
      <c r="K122" s="7" t="str">
        <f>_xlfn.IFS(
    AND(H122=TIME(20,0,0), G122&lt;&gt;"九龍仔", G122&lt;&gt;"曾大屋"), "馬哲",
    G122="雲景道", "梁哥",
    OR(G122 = "九龍仔", G122 = "曾大屋"), "子睿",
    G122 = "Aldrich Bay", "QC football",
    G122 = "馬鞍山游樂場", "Thomas",
    TRUE, "Barry"
)</f>
        <v>梁哥</v>
      </c>
      <c r="L122">
        <v>1</v>
      </c>
      <c r="M122">
        <v>0</v>
      </c>
      <c r="N122">
        <v>0</v>
      </c>
      <c r="O122">
        <v>0</v>
      </c>
      <c r="P122" t="str">
        <f t="shared" si="1"/>
        <v>2025-2026</v>
      </c>
    </row>
    <row r="123" spans="1:16" ht="15">
      <c r="A123" s="1">
        <v>45902</v>
      </c>
      <c r="B123" t="s">
        <v>16</v>
      </c>
      <c r="C123" t="str">
        <f>_xlfn.CONCAT(REPT($D$1,D123), REPT($F$1,E123))</f>
        <v>⚽⚽⚽⚽</v>
      </c>
      <c r="D123">
        <v>4</v>
      </c>
      <c r="E123">
        <v>0</v>
      </c>
      <c r="F123">
        <v>9.9</v>
      </c>
      <c r="G123" t="s">
        <v>64</v>
      </c>
      <c r="H123" s="6">
        <v>0.83333333333333337</v>
      </c>
      <c r="J123" s="3">
        <f>SUM(D123:E123)</f>
        <v>4</v>
      </c>
      <c r="K123" s="7" t="str">
        <f>_xlfn.IFS(
    AND(H123=TIME(20,0,0), G123&lt;&gt;"九龍仔", G123&lt;&gt;"曾大屋"), "馬哲",
    G123="雲景道", "梁哥",
    OR(G123 = "九龍仔", G123 = "曾大屋"), "子睿",
    G123 = "Aldrich Bay", "QC football",
    G123 = "馬鞍山游樂場", "Thomas",
    TRUE, "Barry"
)</f>
        <v>馬哲</v>
      </c>
      <c r="L123">
        <v>1</v>
      </c>
      <c r="M123">
        <v>3</v>
      </c>
      <c r="N123">
        <v>0</v>
      </c>
      <c r="O123">
        <v>0</v>
      </c>
      <c r="P123" t="str">
        <f t="shared" si="1"/>
        <v>2025-2026</v>
      </c>
    </row>
    <row r="124" spans="1:16" ht="15">
      <c r="A124" s="1">
        <v>45902</v>
      </c>
      <c r="B124" t="s">
        <v>17</v>
      </c>
      <c r="C124" t="str">
        <f>_xlfn.CONCAT(REPT($D$1,D124), REPT($F$1,E124))</f>
        <v>⚽⚽⚽👟</v>
      </c>
      <c r="D124">
        <v>3</v>
      </c>
      <c r="E124">
        <v>1</v>
      </c>
      <c r="F124">
        <v>9.8000000000000007</v>
      </c>
      <c r="G124" t="s">
        <v>64</v>
      </c>
      <c r="H124" s="6">
        <v>0.83333333333333337</v>
      </c>
      <c r="J124" s="3">
        <f>SUM(D124:E124)</f>
        <v>4</v>
      </c>
      <c r="K124" s="7" t="str">
        <f>_xlfn.IFS(
    AND(H124=TIME(20,0,0), G124&lt;&gt;"九龍仔", G124&lt;&gt;"曾大屋"), "馬哲",
    G124="雲景道", "梁哥",
    OR(G124 = "九龍仔", G124 = "曾大屋"), "子睿",
    G124 = "Aldrich Bay", "QC football",
    G124 = "馬鞍山游樂場", "Thomas",
    TRUE, "Barry"
)</f>
        <v>馬哲</v>
      </c>
      <c r="L124">
        <v>0</v>
      </c>
      <c r="M124">
        <v>3</v>
      </c>
      <c r="N124">
        <v>0</v>
      </c>
      <c r="O124">
        <v>0</v>
      </c>
      <c r="P124" t="str">
        <f t="shared" si="1"/>
        <v>2025-2026</v>
      </c>
    </row>
    <row r="125" spans="1:16" ht="15">
      <c r="A125" s="1">
        <v>45900</v>
      </c>
      <c r="B125" t="s">
        <v>16</v>
      </c>
      <c r="C125" t="str">
        <f>_xlfn.CONCAT(REPT($D$1,D125), REPT($F$1,E125))</f>
        <v>⚽👟</v>
      </c>
      <c r="D125">
        <v>1</v>
      </c>
      <c r="E125">
        <v>1</v>
      </c>
      <c r="F125">
        <v>8.4</v>
      </c>
      <c r="G125" t="s">
        <v>41</v>
      </c>
      <c r="H125" s="6">
        <v>0.4375</v>
      </c>
      <c r="J125" s="3">
        <f>SUM(D125:E125)</f>
        <v>2</v>
      </c>
      <c r="K125" s="7" t="str">
        <f>_xlfn.IFS(
    AND(H125=TIME(20,0,0), G125&lt;&gt;"九龍仔", G125&lt;&gt;"曾大屋"), "馬哲",
    G125="雲景道", "梁哥",
    OR(G125 = "九龍仔", G125 = "曾大屋"), "子睿",
    G125 = "Aldrich Bay", "QC football",
    G125 = "馬鞍山游樂場", "Thomas",
    TRUE, "Barry"
)</f>
        <v>Barry</v>
      </c>
      <c r="L125">
        <v>0</v>
      </c>
      <c r="M125">
        <v>1</v>
      </c>
      <c r="N125">
        <v>0</v>
      </c>
      <c r="O125">
        <v>0</v>
      </c>
      <c r="P125" t="str">
        <f t="shared" si="1"/>
        <v>2025-2026</v>
      </c>
    </row>
    <row r="126" spans="1:16" ht="15">
      <c r="A126" s="1">
        <v>45900</v>
      </c>
      <c r="B126" t="s">
        <v>17</v>
      </c>
      <c r="C126" t="str">
        <f>_xlfn.CONCAT(REPT($D$1,D126), REPT($F$1,E126))</f>
        <v>⚽👟👟👟</v>
      </c>
      <c r="D126">
        <v>1</v>
      </c>
      <c r="E126">
        <v>3</v>
      </c>
      <c r="F126">
        <v>9.8000000000000007</v>
      </c>
      <c r="G126" t="s">
        <v>41</v>
      </c>
      <c r="H126" s="6">
        <v>0.4375</v>
      </c>
      <c r="J126" s="3">
        <f>SUM(D126:E126)</f>
        <v>4</v>
      </c>
      <c r="K126" s="7" t="str">
        <f>_xlfn.IFS(
    AND(H126=TIME(20,0,0), G126&lt;&gt;"九龍仔", G126&lt;&gt;"曾大屋"), "馬哲",
    G126="雲景道", "梁哥",
    OR(G126 = "九龍仔", G126 = "曾大屋"), "子睿",
    G126 = "Aldrich Bay", "QC football",
    G126 = "馬鞍山游樂場", "Thomas",
    TRUE, "Barry"
)</f>
        <v>Barry</v>
      </c>
      <c r="L126">
        <v>1</v>
      </c>
      <c r="M126">
        <v>0</v>
      </c>
      <c r="N126">
        <v>0</v>
      </c>
      <c r="O126">
        <v>0</v>
      </c>
      <c r="P126" t="str">
        <f t="shared" si="1"/>
        <v>2025-2026</v>
      </c>
    </row>
    <row r="127" spans="1:16" ht="15">
      <c r="A127" s="1">
        <v>45893</v>
      </c>
      <c r="B127" t="s">
        <v>16</v>
      </c>
      <c r="C127" t="str">
        <f>_xlfn.CONCAT(REPT($D$1,D127), REPT($F$1,E127))</f>
        <v>⚽</v>
      </c>
      <c r="D127">
        <v>1</v>
      </c>
      <c r="E127">
        <v>0</v>
      </c>
      <c r="F127">
        <v>7.8</v>
      </c>
      <c r="G127" t="s">
        <v>58</v>
      </c>
      <c r="H127" s="6">
        <v>0.47916666666666669</v>
      </c>
      <c r="J127" s="3">
        <f>SUM(D127:E127)</f>
        <v>1</v>
      </c>
      <c r="K127" s="7" t="str">
        <f>_xlfn.IFS(
    AND(H127=TIME(20,0,0), G127&lt;&gt;"九龍仔", G127&lt;&gt;"曾大屋"), "馬哲",
    G127="雲景道", "梁哥",
    OR(G127 = "九龍仔", G127 = "曾大屋"), "子睿",
    G127 = "Aldrich Bay", "QC football",
    G127 = "馬鞍山游樂場", "Thomas",
    TRUE, "Barry"
)</f>
        <v>Barry</v>
      </c>
      <c r="L127">
        <v>0</v>
      </c>
      <c r="M127">
        <v>1</v>
      </c>
      <c r="N127">
        <v>0</v>
      </c>
      <c r="O127">
        <v>0</v>
      </c>
      <c r="P127" t="str">
        <f t="shared" si="1"/>
        <v>2025-2026</v>
      </c>
    </row>
    <row r="128" spans="1:16" ht="15">
      <c r="A128" s="1">
        <v>45893</v>
      </c>
      <c r="B128" t="s">
        <v>17</v>
      </c>
      <c r="C128" t="str">
        <f>_xlfn.CONCAT(REPT($D$1,D128), REPT($F$1,E128))</f>
        <v>⚽⚽👟</v>
      </c>
      <c r="D128">
        <v>2</v>
      </c>
      <c r="E128">
        <v>1</v>
      </c>
      <c r="F128">
        <v>9.1999999999999993</v>
      </c>
      <c r="G128" t="s">
        <v>58</v>
      </c>
      <c r="H128" s="6">
        <v>0.47916666666666669</v>
      </c>
      <c r="J128" s="3">
        <f>SUM(D128:E128)</f>
        <v>3</v>
      </c>
      <c r="K128" s="7" t="str">
        <f>_xlfn.IFS(
    AND(H128=TIME(20,0,0), G128&lt;&gt;"九龍仔", G128&lt;&gt;"曾大屋"), "馬哲",
    G128="雲景道", "梁哥",
    OR(G128 = "九龍仔", G128 = "曾大屋"), "子睿",
    G128 = "Aldrich Bay", "QC football",
    G128 = "馬鞍山游樂場", "Thomas",
    TRUE, "Barry"
)</f>
        <v>Barry</v>
      </c>
      <c r="L128">
        <v>0</v>
      </c>
      <c r="M128">
        <v>1</v>
      </c>
      <c r="N128">
        <v>1</v>
      </c>
      <c r="O128">
        <v>0</v>
      </c>
      <c r="P128" t="str">
        <f t="shared" si="1"/>
        <v>2025-2026</v>
      </c>
    </row>
    <row r="129" spans="1:16" ht="15">
      <c r="A129" s="1">
        <v>45881</v>
      </c>
      <c r="B129" t="s">
        <v>16</v>
      </c>
      <c r="C129" t="str">
        <f>_xlfn.CONCAT(REPT($D$1,D129), REPT($F$1,E129))</f>
        <v>⚽⚽⚽👟👟</v>
      </c>
      <c r="D129">
        <v>3</v>
      </c>
      <c r="E129">
        <v>2</v>
      </c>
      <c r="F129">
        <v>9.6999999999999993</v>
      </c>
      <c r="G129" t="s">
        <v>64</v>
      </c>
      <c r="H129" s="6">
        <v>0.83333333333333337</v>
      </c>
      <c r="I129" s="3">
        <v>1</v>
      </c>
      <c r="J129" s="3">
        <f>SUM(D129:E129)</f>
        <v>5</v>
      </c>
      <c r="K129" s="7" t="str">
        <f>_xlfn.IFS(
    AND(H129=TIME(20,0,0), G129&lt;&gt;"九龍仔", G129&lt;&gt;"曾大屋"), "馬哲",
    G129="雲景道", "梁哥",
    OR(G129 = "九龍仔", G129 = "曾大屋"), "子睿",
    G129 = "Aldrich Bay", "QC football",
    G129 = "馬鞍山游樂場", "Thomas",
    TRUE, "Barry"
)</f>
        <v>馬哲</v>
      </c>
      <c r="L129">
        <v>0</v>
      </c>
      <c r="M129">
        <v>2</v>
      </c>
      <c r="N129">
        <v>1</v>
      </c>
      <c r="O129">
        <v>0</v>
      </c>
      <c r="P129" t="str">
        <f t="shared" si="1"/>
        <v>2025-2026</v>
      </c>
    </row>
    <row r="130" spans="1:16" ht="15">
      <c r="A130" s="1">
        <v>45881</v>
      </c>
      <c r="B130" t="s">
        <v>17</v>
      </c>
      <c r="C130" t="str">
        <f>_xlfn.CONCAT(REPT($D$1,D130), REPT($F$1,E130))</f>
        <v>⚽⚽⚽👟</v>
      </c>
      <c r="D130">
        <v>3</v>
      </c>
      <c r="E130">
        <v>1</v>
      </c>
      <c r="F130">
        <v>9.6999999999999993</v>
      </c>
      <c r="G130" t="s">
        <v>64</v>
      </c>
      <c r="H130" s="6">
        <v>0.83333333333333337</v>
      </c>
      <c r="J130" s="3">
        <f>SUM(D130:E130)</f>
        <v>4</v>
      </c>
      <c r="K130" s="7" t="str">
        <f>_xlfn.IFS(
    AND(H130=TIME(20,0,0), G130&lt;&gt;"九龍仔", G130&lt;&gt;"曾大屋"), "馬哲",
    G130="雲景道", "梁哥",
    OR(G130 = "九龍仔", G130 = "曾大屋"), "子睿",
    G130 = "Aldrich Bay", "QC football",
    G130 = "馬鞍山游樂場", "Thomas",
    TRUE, "Barry"
)</f>
        <v>馬哲</v>
      </c>
      <c r="L130">
        <v>1</v>
      </c>
      <c r="M130">
        <v>2</v>
      </c>
      <c r="N130">
        <v>0</v>
      </c>
      <c r="O130">
        <v>0</v>
      </c>
      <c r="P130" t="str">
        <f t="shared" si="1"/>
        <v>2025-2026</v>
      </c>
    </row>
    <row r="131" spans="1:16" ht="15">
      <c r="A131" s="1">
        <v>45879</v>
      </c>
      <c r="B131" t="s">
        <v>16</v>
      </c>
      <c r="C131" t="str">
        <f>_xlfn.CONCAT(REPT($D$1,D131), REPT($F$1,E131))</f>
        <v>👟👟</v>
      </c>
      <c r="D131">
        <v>0</v>
      </c>
      <c r="E131">
        <v>2</v>
      </c>
      <c r="F131">
        <v>8.8000000000000007</v>
      </c>
      <c r="G131" t="s">
        <v>41</v>
      </c>
      <c r="H131" s="6">
        <v>0.375</v>
      </c>
      <c r="J131" s="3">
        <f>SUM(D131:E131)</f>
        <v>2</v>
      </c>
      <c r="K131" s="7" t="str">
        <f>_xlfn.IFS(
    AND(H131=TIME(20,0,0), G131&lt;&gt;"九龍仔", G131&lt;&gt;"曾大屋"), "馬哲",
    G131="雲景道", "梁哥",
    OR(G131 = "九龍仔", G131 = "曾大屋"), "子睿",
    G131 = "Aldrich Bay", "QC football",
    G131 = "馬鞍山游樂場", "Thomas",
    TRUE, "Barry"
)</f>
        <v>Barry</v>
      </c>
      <c r="L131">
        <v>0</v>
      </c>
      <c r="M131">
        <v>0</v>
      </c>
      <c r="N131">
        <v>0</v>
      </c>
      <c r="O131">
        <v>0</v>
      </c>
      <c r="P131" t="str">
        <f t="shared" si="1"/>
        <v>2025-2026</v>
      </c>
    </row>
    <row r="132" spans="1:16" ht="15">
      <c r="A132" s="1">
        <v>45879</v>
      </c>
      <c r="B132" t="s">
        <v>17</v>
      </c>
      <c r="C132" t="str">
        <f>_xlfn.CONCAT(REPT($D$1,D132), REPT($F$1,E132))</f>
        <v>⚽⚽👟👟</v>
      </c>
      <c r="D132">
        <v>2</v>
      </c>
      <c r="E132">
        <v>2</v>
      </c>
      <c r="F132">
        <v>10</v>
      </c>
      <c r="G132" t="s">
        <v>41</v>
      </c>
      <c r="H132" s="6">
        <v>0.375</v>
      </c>
      <c r="J132" s="3">
        <f>SUM(D132:E132)</f>
        <v>4</v>
      </c>
      <c r="K132" s="7" t="str">
        <f>_xlfn.IFS(
    AND(H132=TIME(20,0,0), G132&lt;&gt;"九龍仔", G132&lt;&gt;"曾大屋"), "馬哲",
    G132="雲景道", "梁哥",
    OR(G132 = "九龍仔", G132 = "曾大屋"), "子睿",
    G132 = "Aldrich Bay", "QC football",
    G132 = "馬鞍山游樂場", "Thomas",
    TRUE, "Barry"
)</f>
        <v>Barry</v>
      </c>
      <c r="L132">
        <v>1</v>
      </c>
      <c r="M132">
        <v>1</v>
      </c>
      <c r="N132">
        <v>0</v>
      </c>
      <c r="O132">
        <v>0</v>
      </c>
      <c r="P132" t="str">
        <f t="shared" ref="P132:P136" si="2">IF(A132="","", (YEAR(A132)-IF(MONTH(A132)&lt;8,1,0)) &amp; "-" &amp; (YEAR(A132)+IF(MONTH(A132)&gt;=8,1,0)))</f>
        <v>2025-2026</v>
      </c>
    </row>
    <row r="133" spans="1:16" ht="15">
      <c r="A133" s="1">
        <v>45874</v>
      </c>
      <c r="B133" t="s">
        <v>16</v>
      </c>
      <c r="C133" t="str">
        <f>_xlfn.CONCAT(REPT($D$1,D133), REPT($F$1,E133))</f>
        <v>👟</v>
      </c>
      <c r="D133">
        <v>0</v>
      </c>
      <c r="E133">
        <v>1</v>
      </c>
      <c r="F133">
        <v>7.2</v>
      </c>
      <c r="G133" t="s">
        <v>40</v>
      </c>
      <c r="H133" s="6">
        <v>0.83333333333333337</v>
      </c>
      <c r="J133" s="3">
        <f>SUM(D133:E133)</f>
        <v>1</v>
      </c>
      <c r="K133" s="7" t="str">
        <f>_xlfn.IFS(
    AND(H133=TIME(20,0,0), G133&lt;&gt;"九龍仔", G133&lt;&gt;"曾大屋"), "馬哲",
    G133="雲景道", "梁哥",
    OR(G133 = "九龍仔", G133 = "曾大屋"), "子睿",
    G133 = "Aldrich Bay", "QC football",
    G133 = "馬鞍山游樂場", "Thomas",
    TRUE, "Barry"
)</f>
        <v>馬哲</v>
      </c>
      <c r="L133">
        <v>0</v>
      </c>
      <c r="M133">
        <v>0</v>
      </c>
      <c r="N133">
        <v>0</v>
      </c>
      <c r="O133">
        <v>0</v>
      </c>
      <c r="P133" t="str">
        <f t="shared" si="2"/>
        <v>2025-2026</v>
      </c>
    </row>
    <row r="134" spans="1:16" ht="15">
      <c r="A134" s="1">
        <v>45874</v>
      </c>
      <c r="B134" t="s">
        <v>17</v>
      </c>
      <c r="C134" t="str">
        <f>_xlfn.CONCAT(REPT($D$1,D134), REPT($F$1,E134))</f>
        <v>⚽⚽</v>
      </c>
      <c r="D134">
        <v>2</v>
      </c>
      <c r="E134">
        <v>0</v>
      </c>
      <c r="F134">
        <v>8.4</v>
      </c>
      <c r="G134" t="s">
        <v>40</v>
      </c>
      <c r="H134" s="6">
        <v>0.83333333333333337</v>
      </c>
      <c r="J134" s="3">
        <f>SUM(D134:E134)</f>
        <v>2</v>
      </c>
      <c r="K134" s="7" t="str">
        <f>_xlfn.IFS(
    AND(H134=TIME(20,0,0), G134&lt;&gt;"九龍仔", G134&lt;&gt;"曾大屋"), "馬哲",
    G134="雲景道", "梁哥",
    OR(G134 = "九龍仔", G134 = "曾大屋"), "子睿",
    G134 = "Aldrich Bay", "QC football",
    G134 = "馬鞍山游樂場", "Thomas",
    TRUE, "Barry"
)</f>
        <v>馬哲</v>
      </c>
      <c r="L134">
        <v>0</v>
      </c>
      <c r="M134">
        <v>1</v>
      </c>
      <c r="N134">
        <v>1</v>
      </c>
      <c r="O134">
        <v>0</v>
      </c>
      <c r="P134" t="str">
        <f t="shared" si="2"/>
        <v>2025-2026</v>
      </c>
    </row>
    <row r="135" spans="1:16" ht="15">
      <c r="A135" s="1">
        <v>45872</v>
      </c>
      <c r="B135" t="s">
        <v>16</v>
      </c>
      <c r="C135" t="str">
        <f>_xlfn.CONCAT(REPT($D$1,D135), REPT($F$1,E135))</f>
        <v>⚽⚽⚽⚽⚽👟👟👟👟</v>
      </c>
      <c r="D135">
        <v>5</v>
      </c>
      <c r="E135">
        <v>4</v>
      </c>
      <c r="F135">
        <v>10</v>
      </c>
      <c r="G135" t="s">
        <v>39</v>
      </c>
      <c r="H135" s="6">
        <v>0.66666666666666663</v>
      </c>
      <c r="J135" s="3">
        <f>SUM(D135:E135)</f>
        <v>9</v>
      </c>
      <c r="K135" s="7" t="str">
        <f>_xlfn.IFS(
    AND(H135=TIME(20,0,0), G135&lt;&gt;"九龍仔", G135&lt;&gt;"曾大屋"), "馬哲",
    G135="雲景道", "梁哥",
    OR(G135 = "九龍仔", G135 = "曾大屋"), "子睿",
    G135 = "Aldrich Bay", "QC football",
    G135 = "馬鞍山游樂場", "Thomas",
    TRUE, "Barry"
)</f>
        <v>梁哥</v>
      </c>
      <c r="L135">
        <v>1</v>
      </c>
      <c r="M135">
        <v>4</v>
      </c>
      <c r="N135">
        <v>0</v>
      </c>
      <c r="O135">
        <v>0</v>
      </c>
      <c r="P135" t="str">
        <f t="shared" si="2"/>
        <v>2025-2026</v>
      </c>
    </row>
    <row r="136" spans="1:16" ht="15">
      <c r="A136" s="1">
        <v>45872</v>
      </c>
      <c r="B136" t="s">
        <v>17</v>
      </c>
      <c r="C136" t="str">
        <f>_xlfn.CONCAT(REPT($D$1,D136), REPT($F$1,E136))</f>
        <v>⚽⚽⚽⚽⚽👟</v>
      </c>
      <c r="D136">
        <v>5</v>
      </c>
      <c r="E136">
        <v>1</v>
      </c>
      <c r="F136">
        <v>10</v>
      </c>
      <c r="G136" t="s">
        <v>39</v>
      </c>
      <c r="H136" s="6">
        <v>0.66666666666666663</v>
      </c>
      <c r="J136" s="3">
        <f>SUM(D136:E136)</f>
        <v>6</v>
      </c>
      <c r="K136" s="7" t="str">
        <f>_xlfn.IFS(
    AND(H136=TIME(20,0,0), G136&lt;&gt;"九龍仔", G136&lt;&gt;"曾大屋"), "馬哲",
    G136="雲景道", "梁哥",
    OR(G136 = "九龍仔", G136 = "曾大屋"), "子睿",
    G136 = "Aldrich Bay", "QC football",
    G136 = "馬鞍山游樂場", "Thomas",
    TRUE, "Barry"
)</f>
        <v>梁哥</v>
      </c>
      <c r="L136">
        <v>0</v>
      </c>
      <c r="M136">
        <v>5</v>
      </c>
      <c r="N136">
        <v>0</v>
      </c>
      <c r="O136">
        <v>0</v>
      </c>
      <c r="P136" t="str">
        <f t="shared" si="2"/>
        <v>2025-2026</v>
      </c>
    </row>
    <row r="137" spans="1:16" ht="14.25"/>
    <row r="138" spans="1:16" ht="14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老堯 許</dc:creator>
  <cp:keywords/>
  <dc:description/>
  <cp:lastModifiedBy/>
  <cp:revision/>
  <dcterms:created xsi:type="dcterms:W3CDTF">2026-06-01T13:36:17Z</dcterms:created>
  <dcterms:modified xsi:type="dcterms:W3CDTF">2026-07-26T05:22:37Z</dcterms:modified>
  <cp:category/>
  <cp:contentStatus/>
</cp:coreProperties>
</file>